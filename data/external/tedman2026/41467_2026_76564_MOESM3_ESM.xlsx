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edman\Desktop\"/>
    </mc:Choice>
  </mc:AlternateContent>
  <xr:revisionPtr revIDLastSave="1" documentId="8_{4C543E00-05A3-42DE-916C-CC5558C78719}" xr6:coauthVersionLast="47" xr6:coauthVersionMax="47" xr10:uidLastSave="{4F3C4331-6900-4941-BC48-EEC766510DA4}"/>
  <bookViews>
    <workbookView xWindow="0" yWindow="0" windowWidth="28800" windowHeight="12105" xr2:uid="{C9D3655F-1D32-4C76-B060-458F21909413}"/>
  </bookViews>
  <sheets>
    <sheet name="Canonical" sheetId="1" r:id="rId1"/>
    <sheet name="Isoforms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70" i="1" l="1"/>
  <c r="AB123" i="1"/>
  <c r="AB57" i="1"/>
  <c r="AB702" i="1"/>
  <c r="AB700" i="1"/>
  <c r="AB688" i="1"/>
  <c r="AB699" i="1"/>
  <c r="AB682" i="1"/>
  <c r="AB703" i="1"/>
  <c r="AB707" i="1"/>
  <c r="AB708" i="1"/>
  <c r="AB681" i="1"/>
  <c r="AB683" i="1"/>
  <c r="AB701" i="1"/>
  <c r="AB692" i="1"/>
  <c r="AB705" i="1"/>
  <c r="AB686" i="1"/>
  <c r="AB709" i="1"/>
  <c r="AB226" i="1"/>
  <c r="AB112" i="1"/>
  <c r="AB124" i="1"/>
  <c r="AB141" i="1"/>
  <c r="AB172" i="1"/>
  <c r="AB142" i="1"/>
  <c r="AB62" i="1"/>
  <c r="AB68" i="1"/>
  <c r="AB126" i="1"/>
  <c r="AB238" i="1"/>
  <c r="AB95" i="1"/>
  <c r="AB69" i="1"/>
  <c r="AB104" i="1"/>
  <c r="AB55" i="1"/>
  <c r="AB242" i="1"/>
  <c r="AB117" i="1"/>
  <c r="AB173" i="1"/>
  <c r="AB18" i="1"/>
  <c r="AB212" i="1"/>
  <c r="AB50" i="1"/>
  <c r="AB199" i="1"/>
  <c r="AB19" i="1"/>
  <c r="AB243" i="1"/>
  <c r="AB191" i="1"/>
  <c r="AB237" i="1"/>
  <c r="AB710" i="1"/>
  <c r="AB687" i="1"/>
  <c r="AB190" i="1"/>
  <c r="AB193" i="1"/>
  <c r="AB150" i="1"/>
  <c r="AB214" i="1"/>
  <c r="AB98" i="1"/>
  <c r="AB5" i="1"/>
  <c r="AB103" i="1"/>
  <c r="AB149" i="1"/>
  <c r="AB24" i="1"/>
  <c r="AB143" i="1"/>
  <c r="AB97" i="1"/>
  <c r="AB71" i="1"/>
  <c r="AB60" i="1"/>
  <c r="AB163" i="1"/>
  <c r="AB244" i="1"/>
  <c r="AB245" i="1"/>
  <c r="AB116" i="1"/>
  <c r="AB246" i="1"/>
  <c r="AB217" i="1"/>
  <c r="AB164" i="1"/>
  <c r="AB99" i="1"/>
  <c r="AB166" i="1"/>
  <c r="AB698" i="1"/>
  <c r="AB704" i="1"/>
  <c r="AB101" i="1"/>
  <c r="AB125" i="1"/>
  <c r="AB88" i="1"/>
  <c r="AB171" i="1"/>
  <c r="AB194" i="1"/>
  <c r="AB216" i="1"/>
  <c r="AB15" i="1"/>
  <c r="AB247" i="1"/>
  <c r="AB49" i="1"/>
  <c r="AB65" i="1"/>
  <c r="AB52" i="1"/>
  <c r="AB115" i="1"/>
  <c r="AB174" i="1"/>
  <c r="AB4" i="1"/>
  <c r="AB51" i="1"/>
  <c r="AB139" i="1"/>
  <c r="AB235" i="1"/>
  <c r="AB176" i="1"/>
  <c r="AB74" i="1"/>
  <c r="AB3" i="1"/>
  <c r="AB113" i="1"/>
  <c r="AB29" i="1"/>
  <c r="AB224" i="1"/>
  <c r="AB42" i="1"/>
  <c r="AB220" i="1"/>
  <c r="AB59" i="1"/>
  <c r="AB83" i="1"/>
  <c r="AB248" i="1"/>
  <c r="AB725" i="1"/>
  <c r="AB728" i="1"/>
  <c r="AB729" i="1"/>
  <c r="AB732" i="1"/>
  <c r="AB731" i="1"/>
  <c r="AB733" i="1"/>
  <c r="AB734" i="1"/>
  <c r="AB730" i="1"/>
  <c r="AB735" i="1"/>
  <c r="AB726" i="1"/>
  <c r="AB722" i="1"/>
  <c r="AB721" i="1"/>
  <c r="AB213" i="1"/>
  <c r="AB249" i="1"/>
  <c r="AB109" i="1"/>
  <c r="AB691" i="1"/>
  <c r="AB694" i="1"/>
  <c r="AB250" i="1"/>
  <c r="AB706" i="1"/>
  <c r="AB690" i="1"/>
  <c r="AB693" i="1"/>
  <c r="AB58" i="1"/>
  <c r="AB251" i="1"/>
  <c r="AB252" i="1"/>
  <c r="AB22" i="1"/>
  <c r="AB38" i="1"/>
  <c r="AB118" i="1"/>
  <c r="AB47" i="1"/>
  <c r="AB179" i="1"/>
  <c r="AB9" i="1"/>
  <c r="AB82" i="1"/>
  <c r="AB78" i="1"/>
  <c r="AB763" i="1"/>
  <c r="AB86" i="1"/>
  <c r="AB100" i="1"/>
  <c r="AB30" i="1"/>
  <c r="AB122" i="1"/>
  <c r="AB48" i="1"/>
  <c r="AB140" i="1"/>
  <c r="AB66" i="1"/>
  <c r="AB241" i="1"/>
  <c r="AB723" i="1"/>
  <c r="AB695" i="1"/>
  <c r="AB232" i="1"/>
  <c r="AB234" i="1"/>
  <c r="AB195" i="1"/>
  <c r="AB206" i="1"/>
  <c r="AB13" i="1"/>
  <c r="AB182" i="1"/>
  <c r="AB26" i="1"/>
  <c r="AB175" i="1"/>
  <c r="AB90" i="1"/>
  <c r="AB37" i="1"/>
  <c r="AB92" i="1"/>
  <c r="AB253" i="1"/>
  <c r="AB132" i="1"/>
  <c r="AB10" i="1"/>
  <c r="AB254" i="1"/>
  <c r="AB80" i="1"/>
  <c r="AB7" i="1"/>
  <c r="AB221" i="1"/>
  <c r="AB93" i="1"/>
  <c r="AB162" i="1"/>
  <c r="AB128" i="1"/>
  <c r="AB35" i="1"/>
  <c r="AB255" i="1"/>
  <c r="AB256" i="1"/>
  <c r="AB230" i="1"/>
  <c r="AB120" i="1"/>
  <c r="AB146" i="1"/>
  <c r="AB17" i="1"/>
  <c r="AB222" i="1"/>
  <c r="AB105" i="1"/>
  <c r="AB200" i="1"/>
  <c r="AB39" i="1"/>
  <c r="AB46" i="1"/>
  <c r="AB64" i="1"/>
  <c r="AB31" i="1"/>
  <c r="AB43" i="1"/>
  <c r="AB87" i="1"/>
  <c r="AB32" i="1"/>
  <c r="AB73" i="1"/>
  <c r="AB257" i="1"/>
  <c r="AB11" i="1"/>
  <c r="AB8" i="1"/>
  <c r="AB121" i="1"/>
  <c r="AB239" i="1"/>
  <c r="AB108" i="1"/>
  <c r="AB72" i="1"/>
  <c r="AB127" i="1"/>
  <c r="AB718" i="1"/>
  <c r="AB720" i="1"/>
  <c r="AB719" i="1"/>
  <c r="AB711" i="1"/>
  <c r="AB713" i="1"/>
  <c r="AB712" i="1"/>
  <c r="AB715" i="1"/>
  <c r="AB717" i="1"/>
  <c r="AB724" i="1"/>
  <c r="AB714" i="1"/>
  <c r="AB716" i="1"/>
  <c r="AB145" i="1"/>
  <c r="AB177" i="1"/>
  <c r="AB207" i="1"/>
  <c r="AB178" i="1"/>
  <c r="AB240" i="1"/>
  <c r="AB155" i="1"/>
  <c r="AB134" i="1"/>
  <c r="AB258" i="1"/>
  <c r="AB192" i="1"/>
  <c r="AB259" i="1"/>
  <c r="AB12" i="1"/>
  <c r="AB84" i="1"/>
  <c r="AB161" i="1"/>
  <c r="AB165" i="1"/>
  <c r="AB61" i="1"/>
  <c r="AB36" i="1"/>
  <c r="AB260" i="1"/>
  <c r="AB261" i="1"/>
  <c r="AB262" i="1"/>
  <c r="AB219" i="1"/>
  <c r="AB233" i="1"/>
  <c r="AB33" i="1"/>
  <c r="AB198" i="1"/>
  <c r="AB263" i="1"/>
  <c r="AB169" i="1"/>
  <c r="AB189" i="1"/>
  <c r="AB34" i="1"/>
  <c r="AB153" i="1"/>
  <c r="AB211" i="1"/>
  <c r="AB228" i="1"/>
  <c r="AB264" i="1"/>
  <c r="AB265" i="1"/>
  <c r="AB266" i="1"/>
  <c r="AB267" i="1"/>
  <c r="AB268" i="1"/>
  <c r="AB25" i="1"/>
  <c r="AB6" i="1"/>
  <c r="AB269" i="1"/>
  <c r="AB75" i="1"/>
  <c r="AB137" i="1"/>
  <c r="AB94" i="1"/>
  <c r="AB14" i="1"/>
  <c r="AB154" i="1"/>
  <c r="AB270" i="1"/>
  <c r="AB63" i="1"/>
  <c r="AB271" i="1"/>
  <c r="AB231" i="1"/>
  <c r="AB203" i="1"/>
  <c r="AB180" i="1"/>
  <c r="AB223" i="1"/>
  <c r="AB106" i="1"/>
  <c r="AB151" i="1"/>
  <c r="AB79" i="1"/>
  <c r="AB81" i="1"/>
  <c r="AB159" i="1"/>
  <c r="AB272" i="1"/>
  <c r="AB156" i="1"/>
  <c r="AB168" i="1"/>
  <c r="AB144" i="1"/>
  <c r="AB273" i="1"/>
  <c r="AB102" i="1"/>
  <c r="AB274" i="1"/>
  <c r="AB184" i="1"/>
  <c r="AB67" i="1"/>
  <c r="AB16" i="1"/>
  <c r="AB275" i="1"/>
  <c r="AB119" i="1"/>
  <c r="AB210" i="1"/>
  <c r="AB276" i="1"/>
  <c r="AB218" i="1"/>
  <c r="AB227" i="1"/>
  <c r="AB130" i="1"/>
  <c r="AB277" i="1"/>
  <c r="AB157" i="1"/>
  <c r="AB111" i="1"/>
  <c r="AB209" i="1"/>
  <c r="AB225" i="1"/>
  <c r="AB197" i="1"/>
  <c r="AB2" i="1"/>
  <c r="AB618" i="1"/>
  <c r="AB418" i="1"/>
  <c r="AB381" i="1"/>
  <c r="AB299" i="1"/>
  <c r="AB619" i="1"/>
  <c r="AB307" i="1"/>
  <c r="AB500" i="1"/>
  <c r="AB440" i="1"/>
  <c r="AB620" i="1"/>
  <c r="AB421" i="1"/>
  <c r="AB573" i="1"/>
  <c r="AB621" i="1"/>
  <c r="AB487" i="1"/>
  <c r="AB454" i="1"/>
  <c r="AB533" i="1"/>
  <c r="AB529" i="1"/>
  <c r="AB485" i="1"/>
  <c r="AB610" i="1"/>
  <c r="AB611" i="1"/>
  <c r="AB369" i="1"/>
  <c r="AB622" i="1"/>
  <c r="AB598" i="1"/>
  <c r="AB623" i="1"/>
  <c r="AB523" i="1"/>
  <c r="AB365" i="1"/>
  <c r="AB348" i="1"/>
  <c r="AB436" i="1"/>
  <c r="AB624" i="1"/>
  <c r="AB438" i="1"/>
  <c r="AB537" i="1"/>
  <c r="AB314" i="1"/>
  <c r="AB562" i="1"/>
  <c r="AB336" i="1"/>
  <c r="AB362" i="1"/>
  <c r="AB353" i="1"/>
  <c r="AB539" i="1"/>
  <c r="AB451" i="1"/>
  <c r="AB486" i="1"/>
  <c r="AB447" i="1"/>
  <c r="AB390" i="1"/>
  <c r="AB366" i="1"/>
  <c r="AB415" i="1"/>
  <c r="AB584" i="1"/>
  <c r="AB326" i="1"/>
  <c r="AB625" i="1"/>
  <c r="AB395" i="1"/>
  <c r="AB319" i="1"/>
  <c r="AB552" i="1"/>
  <c r="AB591" i="1"/>
  <c r="AB525" i="1"/>
  <c r="AB468" i="1"/>
  <c r="AB478" i="1"/>
  <c r="AB378" i="1"/>
  <c r="AB489" i="1"/>
  <c r="AB576" i="1"/>
  <c r="AB382" i="1"/>
  <c r="AB321" i="1"/>
  <c r="AB626" i="1"/>
  <c r="AB627" i="1"/>
  <c r="AB628" i="1"/>
  <c r="AB599" i="1"/>
  <c r="AB629" i="1"/>
  <c r="AB608" i="1"/>
  <c r="AB559" i="1"/>
  <c r="AB609" i="1"/>
  <c r="AB459" i="1"/>
  <c r="AB461" i="1"/>
  <c r="AB630" i="1"/>
  <c r="AB450" i="1"/>
  <c r="AB521" i="1"/>
  <c r="AB423" i="1"/>
  <c r="AB297" i="1"/>
  <c r="AB631" i="1"/>
  <c r="AB449" i="1"/>
  <c r="AB384" i="1"/>
  <c r="AB386" i="1"/>
  <c r="AB586" i="1"/>
  <c r="AB351" i="1"/>
  <c r="AB594" i="1"/>
  <c r="AB370" i="1"/>
  <c r="AB558" i="1"/>
  <c r="AB376" i="1"/>
  <c r="AB530" i="1"/>
  <c r="AB513" i="1"/>
  <c r="AB632" i="1"/>
  <c r="AB499" i="1"/>
  <c r="AB577" i="1"/>
  <c r="AB482" i="1"/>
  <c r="AB564" i="1"/>
  <c r="AB526" i="1"/>
  <c r="AB309" i="1"/>
  <c r="AB406" i="1"/>
  <c r="AB549" i="1"/>
  <c r="AB514" i="1"/>
  <c r="AB535" i="1"/>
  <c r="AB536" i="1"/>
  <c r="AB633" i="1"/>
  <c r="AB547" i="1"/>
  <c r="AB479" i="1"/>
  <c r="AB592" i="1"/>
  <c r="AB387" i="1"/>
  <c r="AB587" i="1"/>
  <c r="AB634" i="1"/>
  <c r="AB540" i="1"/>
  <c r="AB456" i="1"/>
  <c r="AB383" i="1"/>
  <c r="AB546" i="1"/>
  <c r="AB635" i="1"/>
  <c r="AB426" i="1"/>
  <c r="AB527" i="1"/>
  <c r="AB296" i="1"/>
  <c r="AB636" i="1"/>
  <c r="AB637" i="1"/>
  <c r="AB425" i="1"/>
  <c r="AB300" i="1"/>
  <c r="AB320" i="1"/>
  <c r="AB638" i="1"/>
  <c r="AB563" i="1"/>
  <c r="AB330" i="1"/>
  <c r="AB544" i="1"/>
  <c r="AB496" i="1"/>
  <c r="AB583" i="1"/>
  <c r="AB338" i="1"/>
  <c r="AB589" i="1"/>
  <c r="AB532" i="1"/>
  <c r="AB411" i="1"/>
  <c r="AB364" i="1"/>
  <c r="AB481" i="1"/>
  <c r="AB505" i="1"/>
  <c r="AB604" i="1"/>
  <c r="AB639" i="1"/>
  <c r="AB385" i="1"/>
  <c r="AB640" i="1"/>
  <c r="AB448" i="1"/>
  <c r="AB602" i="1"/>
  <c r="AB565" i="1"/>
  <c r="AB568" i="1"/>
  <c r="AB538" i="1"/>
  <c r="AB518" i="1"/>
  <c r="AB595" i="1"/>
  <c r="AB553" i="1"/>
  <c r="AB413" i="1"/>
  <c r="AB497" i="1"/>
  <c r="AB641" i="1"/>
  <c r="AB569" i="1"/>
  <c r="AB397" i="1"/>
  <c r="AB606" i="1"/>
  <c r="AB534" i="1"/>
  <c r="AB501" i="1"/>
  <c r="AB510" i="1"/>
  <c r="AB572" i="1"/>
  <c r="AB612" i="1"/>
  <c r="AB607" i="1"/>
  <c r="AB642" i="1"/>
  <c r="AB334" i="1"/>
  <c r="AB556" i="1"/>
  <c r="AB511" i="1"/>
  <c r="AB356" i="1"/>
  <c r="AB312" i="1"/>
  <c r="AB600" i="1"/>
  <c r="AB605" i="1"/>
  <c r="AB446" i="1"/>
  <c r="AB601" i="1"/>
  <c r="AB616" i="1"/>
  <c r="AB617" i="1"/>
  <c r="AB342" i="1"/>
  <c r="AB643" i="1"/>
  <c r="AB401" i="1"/>
  <c r="AB644" i="1"/>
  <c r="AB531" i="1"/>
  <c r="AB318" i="1"/>
  <c r="AB345" i="1"/>
  <c r="AB645" i="1"/>
  <c r="AB331" i="1"/>
  <c r="AB409" i="1"/>
  <c r="AB310" i="1"/>
  <c r="AB646" i="1"/>
  <c r="AB337" i="1"/>
  <c r="AB399" i="1"/>
  <c r="AB333" i="1"/>
  <c r="AB504" i="1"/>
  <c r="AB548" i="1"/>
  <c r="AB465" i="1"/>
  <c r="AB464" i="1"/>
  <c r="AB392" i="1"/>
  <c r="AB567" i="1"/>
  <c r="AB339" i="1"/>
  <c r="AB560" i="1"/>
  <c r="AB647" i="1"/>
  <c r="AB648" i="1"/>
  <c r="AB649" i="1"/>
  <c r="AB416" i="1"/>
  <c r="AB427" i="1"/>
  <c r="AB458" i="1"/>
  <c r="AB476" i="1"/>
  <c r="AB474" i="1"/>
  <c r="AB429" i="1"/>
  <c r="AB435" i="1"/>
  <c r="AB323" i="1"/>
  <c r="AB414" i="1"/>
  <c r="AB650" i="1"/>
  <c r="AB347" i="1"/>
  <c r="AB512" i="1"/>
  <c r="AB410" i="1"/>
  <c r="AB442" i="1"/>
  <c r="AB403" i="1"/>
  <c r="AB590" i="1"/>
  <c r="AB444" i="1"/>
  <c r="AB428" i="1"/>
  <c r="AB506" i="1"/>
  <c r="AB304" i="1"/>
  <c r="AB288" i="1"/>
  <c r="AB517" i="1"/>
  <c r="AB361" i="1"/>
  <c r="AB651" i="1"/>
  <c r="AB457" i="1"/>
  <c r="AB344" i="1"/>
  <c r="AB328" i="1"/>
  <c r="AB652" i="1"/>
  <c r="AB394" i="1"/>
  <c r="AB329" i="1"/>
  <c r="AB417" i="1"/>
  <c r="AB471" i="1"/>
  <c r="AB306" i="1"/>
  <c r="AB653" i="1"/>
  <c r="AB654" i="1"/>
  <c r="AB298" i="1"/>
  <c r="AB372" i="1"/>
  <c r="AB655" i="1"/>
  <c r="AB575" i="1"/>
  <c r="AB434" i="1"/>
  <c r="AB460" i="1"/>
  <c r="AB656" i="1"/>
  <c r="AB443" i="1"/>
  <c r="AB657" i="1"/>
  <c r="AB509" i="1"/>
  <c r="AB658" i="1"/>
  <c r="AB374" i="1"/>
  <c r="AB659" i="1"/>
  <c r="AB660" i="1"/>
  <c r="AB388" i="1"/>
  <c r="AB294" i="1"/>
  <c r="AB433" i="1"/>
  <c r="AB363" i="1"/>
  <c r="AB661" i="1"/>
  <c r="AB516" i="1"/>
  <c r="AB662" i="1"/>
  <c r="AB663" i="1"/>
  <c r="AB550" i="1"/>
  <c r="AB352" i="1"/>
  <c r="AB404" i="1"/>
  <c r="AB519" i="1"/>
  <c r="AB557" i="1"/>
  <c r="AB289" i="1"/>
  <c r="AB391" i="1"/>
  <c r="AB664" i="1"/>
  <c r="AB308" i="1"/>
  <c r="AB355" i="1"/>
  <c r="AB293" i="1"/>
  <c r="AB467" i="1"/>
  <c r="AB665" i="1"/>
  <c r="AB317" i="1"/>
  <c r="AB528" i="1"/>
  <c r="AB407" i="1"/>
  <c r="AB543" i="1"/>
  <c r="AB491" i="1"/>
  <c r="AB462" i="1"/>
  <c r="AB379" i="1"/>
  <c r="AB290" i="1"/>
  <c r="AB666" i="1"/>
  <c r="AB305" i="1"/>
  <c r="AB566" i="1"/>
  <c r="AB490" i="1"/>
  <c r="AB581" i="1"/>
  <c r="AB303" i="1"/>
  <c r="AB667" i="1"/>
  <c r="AB357" i="1"/>
  <c r="AB373" i="1"/>
  <c r="AB419" i="1"/>
  <c r="AB349" i="1"/>
  <c r="AB494" i="1"/>
  <c r="AB445" i="1"/>
  <c r="AB420" i="1"/>
  <c r="AB422" i="1"/>
  <c r="AB302" i="1"/>
  <c r="AB335" i="1"/>
  <c r="AB453" i="1"/>
  <c r="AB343" i="1"/>
  <c r="AB313" i="1"/>
  <c r="AB346" i="1"/>
  <c r="AB393" i="1"/>
  <c r="AB588" i="1"/>
  <c r="AB593" i="1"/>
  <c r="AB582" i="1"/>
  <c r="AB571" i="1"/>
  <c r="AB508" i="1"/>
  <c r="AB578" i="1"/>
  <c r="AB325" i="1"/>
  <c r="AB359" i="1"/>
  <c r="AB515" i="1"/>
  <c r="AB498" i="1"/>
  <c r="AB473" i="1"/>
  <c r="AB597" i="1"/>
  <c r="AB561" i="1"/>
  <c r="AB551" i="1"/>
  <c r="AB327" i="1"/>
  <c r="AB324" i="1"/>
  <c r="AB466" i="1"/>
  <c r="AB585" i="1"/>
  <c r="AB574" i="1"/>
  <c r="AB570" i="1"/>
  <c r="AB472" i="1"/>
  <c r="AB475" i="1"/>
  <c r="AB480" i="1"/>
  <c r="AB400" i="1"/>
  <c r="AB452" i="1"/>
  <c r="AB408" i="1"/>
  <c r="AB377" i="1"/>
  <c r="AB520" i="1"/>
  <c r="AB477" i="1"/>
  <c r="AB615" i="1"/>
  <c r="AB613" i="1"/>
  <c r="AB358" i="1"/>
  <c r="AB668" i="1"/>
  <c r="AB380" i="1"/>
  <c r="AB315" i="1"/>
  <c r="AB441" i="1"/>
  <c r="AB669" i="1"/>
  <c r="AB311" i="1"/>
  <c r="AB341" i="1"/>
  <c r="AB295" i="1"/>
  <c r="AB430" i="1"/>
  <c r="AB470" i="1"/>
  <c r="AB432" i="1"/>
  <c r="AB495" i="1"/>
  <c r="AB367" i="1"/>
  <c r="AB555" i="1"/>
  <c r="AB484" i="1"/>
  <c r="AB596" i="1"/>
  <c r="AB522" i="1"/>
  <c r="AB670" i="1"/>
  <c r="AB671" i="1"/>
  <c r="AB545" i="1"/>
  <c r="AB437" i="1"/>
  <c r="AB579" i="1"/>
  <c r="AB439" i="1"/>
  <c r="AB332" i="1"/>
  <c r="AB672" i="1"/>
  <c r="AB291" i="1"/>
  <c r="AB354" i="1"/>
  <c r="AB292" i="1"/>
  <c r="AB398" i="1"/>
  <c r="AB614" i="1"/>
  <c r="AB603" i="1"/>
  <c r="AB488" i="1"/>
  <c r="AB463" i="1"/>
  <c r="AB322" i="1"/>
  <c r="AB503" i="1"/>
  <c r="AB554" i="1"/>
  <c r="AB483" i="1"/>
  <c r="AB402" i="1"/>
  <c r="AB673" i="1"/>
  <c r="AB674" i="1"/>
  <c r="AB316" i="1"/>
  <c r="AB301" i="1"/>
  <c r="AB675" i="1"/>
  <c r="AB368" i="1"/>
  <c r="AB676" i="1"/>
  <c r="AB412" i="1"/>
  <c r="AB493" i="1"/>
  <c r="AB340" i="1"/>
  <c r="AB360" i="1"/>
  <c r="AB350" i="1"/>
  <c r="AB541" i="1"/>
  <c r="AB455" i="1"/>
  <c r="AB677" i="1"/>
  <c r="AB678" i="1"/>
  <c r="AB375" i="1"/>
  <c r="AB424" i="1"/>
  <c r="AB580" i="1"/>
  <c r="AB469" i="1"/>
  <c r="AB371" i="1"/>
  <c r="AB502" i="1"/>
  <c r="AB405" i="1"/>
  <c r="AB396" i="1"/>
  <c r="AB507" i="1"/>
  <c r="AB492" i="1"/>
  <c r="AB389" i="1"/>
  <c r="AB431" i="1"/>
  <c r="AB679" i="1"/>
  <c r="AB680" i="1"/>
  <c r="AB542" i="1"/>
  <c r="AB524" i="1"/>
  <c r="AB147" i="1"/>
  <c r="AB183" i="1"/>
  <c r="AB181" i="1"/>
  <c r="AB278" i="1"/>
  <c r="AB41" i="1"/>
  <c r="AB279" i="1"/>
  <c r="AB54" i="1"/>
  <c r="AB187" i="1"/>
  <c r="AB44" i="1"/>
  <c r="AB76" i="1"/>
  <c r="AB196" i="1"/>
  <c r="AB21" i="1"/>
  <c r="AB23" i="1"/>
  <c r="AB110" i="1"/>
  <c r="AB148" i="1"/>
  <c r="AB152" i="1"/>
  <c r="AB280" i="1"/>
  <c r="AB28" i="1"/>
  <c r="AB20" i="1"/>
  <c r="AB158" i="1"/>
  <c r="AB91" i="1"/>
  <c r="AB208" i="1"/>
  <c r="AB40" i="1"/>
  <c r="AB281" i="1"/>
  <c r="AB201" i="1"/>
  <c r="AB696" i="1"/>
  <c r="AB684" i="1"/>
  <c r="AB204" i="1"/>
  <c r="AB236" i="1"/>
  <c r="AB186" i="1"/>
  <c r="AB282" i="1"/>
  <c r="AB135" i="1"/>
  <c r="AB70" i="1"/>
  <c r="AB77" i="1"/>
  <c r="AB96" i="1"/>
  <c r="AB202" i="1"/>
  <c r="AB229" i="1"/>
  <c r="AB283" i="1"/>
  <c r="AB136" i="1"/>
  <c r="AB188" i="1"/>
  <c r="AB689" i="1"/>
  <c r="AB727" i="1"/>
  <c r="AB85" i="1"/>
  <c r="AB53" i="1"/>
  <c r="AB167" i="1"/>
  <c r="AB27" i="1"/>
  <c r="AB107" i="1"/>
  <c r="AB129" i="1"/>
  <c r="AB284" i="1"/>
  <c r="AB56" i="1"/>
  <c r="AB45" i="1"/>
  <c r="AB133" i="1"/>
  <c r="AB114" i="1"/>
  <c r="AB185" i="1"/>
  <c r="AB285" i="1"/>
  <c r="AB138" i="1"/>
  <c r="AB131" i="1"/>
  <c r="AB748" i="1"/>
  <c r="AB752" i="1"/>
  <c r="AB757" i="1"/>
  <c r="AB750" i="1"/>
  <c r="AB745" i="1"/>
  <c r="AB749" i="1"/>
  <c r="AB759" i="1"/>
  <c r="AB743" i="1"/>
  <c r="AB737" i="1"/>
  <c r="AB760" i="1"/>
  <c r="AB756" i="1"/>
  <c r="AB739" i="1"/>
  <c r="AB741" i="1"/>
  <c r="AB754" i="1"/>
  <c r="AB740" i="1"/>
  <c r="AB761" i="1"/>
  <c r="AB747" i="1"/>
  <c r="AB755" i="1"/>
  <c r="AB753" i="1"/>
  <c r="AB738" i="1"/>
  <c r="AB762" i="1"/>
  <c r="AB758" i="1"/>
  <c r="AB742" i="1"/>
  <c r="AB746" i="1"/>
  <c r="AB751" i="1"/>
  <c r="AB744" i="1"/>
  <c r="AB736" i="1"/>
  <c r="AB160" i="1"/>
  <c r="AB286" i="1"/>
  <c r="AB287" i="1"/>
  <c r="AB215" i="1"/>
  <c r="AB685" i="1"/>
  <c r="AB697" i="1"/>
  <c r="AB766" i="1"/>
  <c r="AB764" i="1"/>
  <c r="AB765" i="1"/>
  <c r="AB767" i="1"/>
  <c r="AB205" i="1"/>
  <c r="AB89" i="1"/>
  <c r="AA170" i="1"/>
  <c r="AA123" i="1"/>
  <c r="AA57" i="1"/>
  <c r="AA702" i="1"/>
  <c r="AA700" i="1"/>
  <c r="AA688" i="1"/>
  <c r="AA699" i="1"/>
  <c r="AA682" i="1"/>
  <c r="AA703" i="1"/>
  <c r="AA707" i="1"/>
  <c r="AA708" i="1"/>
  <c r="AA681" i="1"/>
  <c r="AA683" i="1"/>
  <c r="AA701" i="1"/>
  <c r="AA692" i="1"/>
  <c r="AA705" i="1"/>
  <c r="AA686" i="1"/>
  <c r="AA709" i="1"/>
  <c r="AA226" i="1"/>
  <c r="AA112" i="1"/>
  <c r="AA124" i="1"/>
  <c r="AA141" i="1"/>
  <c r="AA172" i="1"/>
  <c r="AA142" i="1"/>
  <c r="AA62" i="1"/>
  <c r="AA68" i="1"/>
  <c r="AA126" i="1"/>
  <c r="AA238" i="1"/>
  <c r="AA95" i="1"/>
  <c r="AA69" i="1"/>
  <c r="AA104" i="1"/>
  <c r="AA55" i="1"/>
  <c r="AA242" i="1"/>
  <c r="AA117" i="1"/>
  <c r="AA173" i="1"/>
  <c r="AA18" i="1"/>
  <c r="AA212" i="1"/>
  <c r="AA50" i="1"/>
  <c r="AA199" i="1"/>
  <c r="AA19" i="1"/>
  <c r="AA243" i="1"/>
  <c r="AA191" i="1"/>
  <c r="AA237" i="1"/>
  <c r="AA710" i="1"/>
  <c r="AA687" i="1"/>
  <c r="AA190" i="1"/>
  <c r="AA193" i="1"/>
  <c r="AA150" i="1"/>
  <c r="AA214" i="1"/>
  <c r="AA98" i="1"/>
  <c r="AA5" i="1"/>
  <c r="AA103" i="1"/>
  <c r="AA149" i="1"/>
  <c r="AA24" i="1"/>
  <c r="AA143" i="1"/>
  <c r="AA97" i="1"/>
  <c r="AA71" i="1"/>
  <c r="AA60" i="1"/>
  <c r="AA163" i="1"/>
  <c r="AA244" i="1"/>
  <c r="AA245" i="1"/>
  <c r="AA116" i="1"/>
  <c r="AA246" i="1"/>
  <c r="AA217" i="1"/>
  <c r="AA164" i="1"/>
  <c r="AA99" i="1"/>
  <c r="AA166" i="1"/>
  <c r="AA698" i="1"/>
  <c r="AA704" i="1"/>
  <c r="AA101" i="1"/>
  <c r="AA125" i="1"/>
  <c r="AA88" i="1"/>
  <c r="AA171" i="1"/>
  <c r="AA194" i="1"/>
  <c r="AA216" i="1"/>
  <c r="AA15" i="1"/>
  <c r="AA247" i="1"/>
  <c r="AA49" i="1"/>
  <c r="AA65" i="1"/>
  <c r="AA52" i="1"/>
  <c r="AA115" i="1"/>
  <c r="AA174" i="1"/>
  <c r="AA4" i="1"/>
  <c r="AA51" i="1"/>
  <c r="AA139" i="1"/>
  <c r="AA235" i="1"/>
  <c r="AA176" i="1"/>
  <c r="AA74" i="1"/>
  <c r="AA3" i="1"/>
  <c r="AA113" i="1"/>
  <c r="AA29" i="1"/>
  <c r="AA224" i="1"/>
  <c r="AA42" i="1"/>
  <c r="AA220" i="1"/>
  <c r="AA59" i="1"/>
  <c r="AA83" i="1"/>
  <c r="AA248" i="1"/>
  <c r="AA725" i="1"/>
  <c r="AA728" i="1"/>
  <c r="AA729" i="1"/>
  <c r="AA732" i="1"/>
  <c r="AA731" i="1"/>
  <c r="AA733" i="1"/>
  <c r="AA734" i="1"/>
  <c r="AA730" i="1"/>
  <c r="AA735" i="1"/>
  <c r="AA726" i="1"/>
  <c r="AA722" i="1"/>
  <c r="AA721" i="1"/>
  <c r="AA213" i="1"/>
  <c r="AA249" i="1"/>
  <c r="AA109" i="1"/>
  <c r="AA691" i="1"/>
  <c r="AA694" i="1"/>
  <c r="AA250" i="1"/>
  <c r="AA706" i="1"/>
  <c r="AA690" i="1"/>
  <c r="AA693" i="1"/>
  <c r="AA58" i="1"/>
  <c r="AA251" i="1"/>
  <c r="AA252" i="1"/>
  <c r="AA22" i="1"/>
  <c r="AA38" i="1"/>
  <c r="AA118" i="1"/>
  <c r="AA47" i="1"/>
  <c r="AA179" i="1"/>
  <c r="AA9" i="1"/>
  <c r="AA82" i="1"/>
  <c r="AA78" i="1"/>
  <c r="AA763" i="1"/>
  <c r="AA86" i="1"/>
  <c r="AA100" i="1"/>
  <c r="AA30" i="1"/>
  <c r="AA122" i="1"/>
  <c r="AA48" i="1"/>
  <c r="AA140" i="1"/>
  <c r="AA66" i="1"/>
  <c r="AA241" i="1"/>
  <c r="AA723" i="1"/>
  <c r="AA695" i="1"/>
  <c r="AA232" i="1"/>
  <c r="AA234" i="1"/>
  <c r="AA195" i="1"/>
  <c r="AA206" i="1"/>
  <c r="AA13" i="1"/>
  <c r="AA182" i="1"/>
  <c r="AA26" i="1"/>
  <c r="AA175" i="1"/>
  <c r="AA90" i="1"/>
  <c r="AA37" i="1"/>
  <c r="AA92" i="1"/>
  <c r="AA253" i="1"/>
  <c r="AA132" i="1"/>
  <c r="AA10" i="1"/>
  <c r="AA254" i="1"/>
  <c r="AA80" i="1"/>
  <c r="AA7" i="1"/>
  <c r="AA221" i="1"/>
  <c r="AA93" i="1"/>
  <c r="AA162" i="1"/>
  <c r="AA128" i="1"/>
  <c r="AA35" i="1"/>
  <c r="AA255" i="1"/>
  <c r="AA256" i="1"/>
  <c r="AA230" i="1"/>
  <c r="AA120" i="1"/>
  <c r="AA146" i="1"/>
  <c r="AA17" i="1"/>
  <c r="AA222" i="1"/>
  <c r="AA105" i="1"/>
  <c r="AA200" i="1"/>
  <c r="AA39" i="1"/>
  <c r="AA46" i="1"/>
  <c r="AA64" i="1"/>
  <c r="AA31" i="1"/>
  <c r="AA43" i="1"/>
  <c r="AA87" i="1"/>
  <c r="AA32" i="1"/>
  <c r="AA73" i="1"/>
  <c r="AA257" i="1"/>
  <c r="AA11" i="1"/>
  <c r="AA8" i="1"/>
  <c r="AA121" i="1"/>
  <c r="AA239" i="1"/>
  <c r="AA108" i="1"/>
  <c r="AA72" i="1"/>
  <c r="AA127" i="1"/>
  <c r="AA718" i="1"/>
  <c r="AA720" i="1"/>
  <c r="AA719" i="1"/>
  <c r="AA711" i="1"/>
  <c r="AA713" i="1"/>
  <c r="AA712" i="1"/>
  <c r="AA715" i="1"/>
  <c r="AA717" i="1"/>
  <c r="AA724" i="1"/>
  <c r="AA714" i="1"/>
  <c r="AA716" i="1"/>
  <c r="AA145" i="1"/>
  <c r="AA177" i="1"/>
  <c r="AA207" i="1"/>
  <c r="AA178" i="1"/>
  <c r="AA240" i="1"/>
  <c r="AA155" i="1"/>
  <c r="AA134" i="1"/>
  <c r="AA258" i="1"/>
  <c r="AA192" i="1"/>
  <c r="AA259" i="1"/>
  <c r="AA12" i="1"/>
  <c r="AA84" i="1"/>
  <c r="AA161" i="1"/>
  <c r="AA165" i="1"/>
  <c r="AA61" i="1"/>
  <c r="AA36" i="1"/>
  <c r="AA260" i="1"/>
  <c r="AA261" i="1"/>
  <c r="AA262" i="1"/>
  <c r="AA219" i="1"/>
  <c r="AA233" i="1"/>
  <c r="AA33" i="1"/>
  <c r="AA198" i="1"/>
  <c r="AA263" i="1"/>
  <c r="AA169" i="1"/>
  <c r="AA189" i="1"/>
  <c r="AA34" i="1"/>
  <c r="AA153" i="1"/>
  <c r="AA211" i="1"/>
  <c r="AA228" i="1"/>
  <c r="AA264" i="1"/>
  <c r="AA265" i="1"/>
  <c r="AA266" i="1"/>
  <c r="AA267" i="1"/>
  <c r="AA268" i="1"/>
  <c r="AA25" i="1"/>
  <c r="AA6" i="1"/>
  <c r="AA269" i="1"/>
  <c r="AA75" i="1"/>
  <c r="AA137" i="1"/>
  <c r="AA94" i="1"/>
  <c r="AA14" i="1"/>
  <c r="AA154" i="1"/>
  <c r="AA270" i="1"/>
  <c r="AA63" i="1"/>
  <c r="AA271" i="1"/>
  <c r="AA231" i="1"/>
  <c r="AA203" i="1"/>
  <c r="AA180" i="1"/>
  <c r="AA223" i="1"/>
  <c r="AA106" i="1"/>
  <c r="AA151" i="1"/>
  <c r="AA79" i="1"/>
  <c r="AA81" i="1"/>
  <c r="AA159" i="1"/>
  <c r="AA272" i="1"/>
  <c r="AA156" i="1"/>
  <c r="AA168" i="1"/>
  <c r="AA144" i="1"/>
  <c r="AA273" i="1"/>
  <c r="AA102" i="1"/>
  <c r="AA274" i="1"/>
  <c r="AA184" i="1"/>
  <c r="AA67" i="1"/>
  <c r="AA16" i="1"/>
  <c r="AA275" i="1"/>
  <c r="AA119" i="1"/>
  <c r="AA210" i="1"/>
  <c r="AA276" i="1"/>
  <c r="AA218" i="1"/>
  <c r="AA227" i="1"/>
  <c r="AA130" i="1"/>
  <c r="AA277" i="1"/>
  <c r="AA157" i="1"/>
  <c r="AA111" i="1"/>
  <c r="AA209" i="1"/>
  <c r="AA225" i="1"/>
  <c r="AA197" i="1"/>
  <c r="AA2" i="1"/>
  <c r="AA618" i="1"/>
  <c r="AA418" i="1"/>
  <c r="AA381" i="1"/>
  <c r="AA299" i="1"/>
  <c r="AA619" i="1"/>
  <c r="AA307" i="1"/>
  <c r="AA500" i="1"/>
  <c r="AA440" i="1"/>
  <c r="AA620" i="1"/>
  <c r="AA421" i="1"/>
  <c r="AA573" i="1"/>
  <c r="AA621" i="1"/>
  <c r="AA487" i="1"/>
  <c r="AA454" i="1"/>
  <c r="AA533" i="1"/>
  <c r="AA529" i="1"/>
  <c r="AA485" i="1"/>
  <c r="AA610" i="1"/>
  <c r="AA611" i="1"/>
  <c r="AA369" i="1"/>
  <c r="AA622" i="1"/>
  <c r="AA598" i="1"/>
  <c r="AA623" i="1"/>
  <c r="AA523" i="1"/>
  <c r="AA365" i="1"/>
  <c r="AA348" i="1"/>
  <c r="AA436" i="1"/>
  <c r="AA624" i="1"/>
  <c r="AA438" i="1"/>
  <c r="AA537" i="1"/>
  <c r="AA314" i="1"/>
  <c r="AA562" i="1"/>
  <c r="AA336" i="1"/>
  <c r="AA362" i="1"/>
  <c r="AA353" i="1"/>
  <c r="AA539" i="1"/>
  <c r="AA451" i="1"/>
  <c r="AA486" i="1"/>
  <c r="AA447" i="1"/>
  <c r="AA390" i="1"/>
  <c r="AA366" i="1"/>
  <c r="AA415" i="1"/>
  <c r="AA584" i="1"/>
  <c r="AA326" i="1"/>
  <c r="AA625" i="1"/>
  <c r="AA395" i="1"/>
  <c r="AA319" i="1"/>
  <c r="AA552" i="1"/>
  <c r="AA591" i="1"/>
  <c r="AA525" i="1"/>
  <c r="AA468" i="1"/>
  <c r="AA478" i="1"/>
  <c r="AA378" i="1"/>
  <c r="AA489" i="1"/>
  <c r="AA576" i="1"/>
  <c r="AA382" i="1"/>
  <c r="AA321" i="1"/>
  <c r="AA626" i="1"/>
  <c r="AA627" i="1"/>
  <c r="AA628" i="1"/>
  <c r="AA599" i="1"/>
  <c r="AA629" i="1"/>
  <c r="AA608" i="1"/>
  <c r="AA559" i="1"/>
  <c r="AA609" i="1"/>
  <c r="AA459" i="1"/>
  <c r="AA461" i="1"/>
  <c r="AA630" i="1"/>
  <c r="AA450" i="1"/>
  <c r="AA521" i="1"/>
  <c r="AA423" i="1"/>
  <c r="AA297" i="1"/>
  <c r="AA631" i="1"/>
  <c r="AA449" i="1"/>
  <c r="AA384" i="1"/>
  <c r="AA386" i="1"/>
  <c r="AA586" i="1"/>
  <c r="AA351" i="1"/>
  <c r="AA594" i="1"/>
  <c r="AA370" i="1"/>
  <c r="AA558" i="1"/>
  <c r="AA376" i="1"/>
  <c r="AA530" i="1"/>
  <c r="AA513" i="1"/>
  <c r="AA632" i="1"/>
  <c r="AA499" i="1"/>
  <c r="AA577" i="1"/>
  <c r="AA482" i="1"/>
  <c r="AA564" i="1"/>
  <c r="AA526" i="1"/>
  <c r="AA309" i="1"/>
  <c r="AA406" i="1"/>
  <c r="AA549" i="1"/>
  <c r="AA514" i="1"/>
  <c r="AA535" i="1"/>
  <c r="AA536" i="1"/>
  <c r="AA633" i="1"/>
  <c r="AA547" i="1"/>
  <c r="AA479" i="1"/>
  <c r="AA592" i="1"/>
  <c r="AA387" i="1"/>
  <c r="AA587" i="1"/>
  <c r="AA634" i="1"/>
  <c r="AA540" i="1"/>
  <c r="AA456" i="1"/>
  <c r="AA383" i="1"/>
  <c r="AA546" i="1"/>
  <c r="AA635" i="1"/>
  <c r="AA426" i="1"/>
  <c r="AA527" i="1"/>
  <c r="AA296" i="1"/>
  <c r="AA636" i="1"/>
  <c r="AA637" i="1"/>
  <c r="AA425" i="1"/>
  <c r="AA300" i="1"/>
  <c r="AA320" i="1"/>
  <c r="AA638" i="1"/>
  <c r="AA563" i="1"/>
  <c r="AA330" i="1"/>
  <c r="AA544" i="1"/>
  <c r="AA496" i="1"/>
  <c r="AA583" i="1"/>
  <c r="AA338" i="1"/>
  <c r="AA589" i="1"/>
  <c r="AA532" i="1"/>
  <c r="AA411" i="1"/>
  <c r="AA364" i="1"/>
  <c r="AA481" i="1"/>
  <c r="AA505" i="1"/>
  <c r="AA604" i="1"/>
  <c r="AA639" i="1"/>
  <c r="AA385" i="1"/>
  <c r="AA640" i="1"/>
  <c r="AA448" i="1"/>
  <c r="AA602" i="1"/>
  <c r="AA565" i="1"/>
  <c r="AA568" i="1"/>
  <c r="AA538" i="1"/>
  <c r="AA518" i="1"/>
  <c r="AA595" i="1"/>
  <c r="AA553" i="1"/>
  <c r="AA413" i="1"/>
  <c r="AA497" i="1"/>
  <c r="AA641" i="1"/>
  <c r="AA569" i="1"/>
  <c r="AA397" i="1"/>
  <c r="AA606" i="1"/>
  <c r="AA534" i="1"/>
  <c r="AA501" i="1"/>
  <c r="AA510" i="1"/>
  <c r="AA572" i="1"/>
  <c r="AA612" i="1"/>
  <c r="AA607" i="1"/>
  <c r="AA642" i="1"/>
  <c r="AA334" i="1"/>
  <c r="AA556" i="1"/>
  <c r="AA511" i="1"/>
  <c r="AA356" i="1"/>
  <c r="AA312" i="1"/>
  <c r="AA600" i="1"/>
  <c r="AA605" i="1"/>
  <c r="AA446" i="1"/>
  <c r="AA601" i="1"/>
  <c r="AA616" i="1"/>
  <c r="AA617" i="1"/>
  <c r="AA342" i="1"/>
  <c r="AA643" i="1"/>
  <c r="AA401" i="1"/>
  <c r="AA644" i="1"/>
  <c r="AA531" i="1"/>
  <c r="AA318" i="1"/>
  <c r="AA345" i="1"/>
  <c r="AA645" i="1"/>
  <c r="AA331" i="1"/>
  <c r="AA409" i="1"/>
  <c r="AA310" i="1"/>
  <c r="AA646" i="1"/>
  <c r="AA337" i="1"/>
  <c r="AA399" i="1"/>
  <c r="AA333" i="1"/>
  <c r="AA504" i="1"/>
  <c r="AA548" i="1"/>
  <c r="AA465" i="1"/>
  <c r="AA464" i="1"/>
  <c r="AA392" i="1"/>
  <c r="AA567" i="1"/>
  <c r="AA339" i="1"/>
  <c r="AA560" i="1"/>
  <c r="AA647" i="1"/>
  <c r="AA648" i="1"/>
  <c r="AA649" i="1"/>
  <c r="AA416" i="1"/>
  <c r="AA427" i="1"/>
  <c r="AA458" i="1"/>
  <c r="AA476" i="1"/>
  <c r="AA474" i="1"/>
  <c r="AA429" i="1"/>
  <c r="AA435" i="1"/>
  <c r="AA323" i="1"/>
  <c r="AA414" i="1"/>
  <c r="AA650" i="1"/>
  <c r="AA347" i="1"/>
  <c r="AA512" i="1"/>
  <c r="AA410" i="1"/>
  <c r="AA442" i="1"/>
  <c r="AA403" i="1"/>
  <c r="AA590" i="1"/>
  <c r="AA444" i="1"/>
  <c r="AA428" i="1"/>
  <c r="AA506" i="1"/>
  <c r="AA304" i="1"/>
  <c r="AA288" i="1"/>
  <c r="AA517" i="1"/>
  <c r="AA361" i="1"/>
  <c r="AA651" i="1"/>
  <c r="AA457" i="1"/>
  <c r="AA344" i="1"/>
  <c r="AA328" i="1"/>
  <c r="AA652" i="1"/>
  <c r="AA394" i="1"/>
  <c r="AA329" i="1"/>
  <c r="AA417" i="1"/>
  <c r="AA471" i="1"/>
  <c r="AA306" i="1"/>
  <c r="AA653" i="1"/>
  <c r="AA654" i="1"/>
  <c r="AA298" i="1"/>
  <c r="AA372" i="1"/>
  <c r="AA655" i="1"/>
  <c r="AA575" i="1"/>
  <c r="AA434" i="1"/>
  <c r="AA460" i="1"/>
  <c r="AA656" i="1"/>
  <c r="AA443" i="1"/>
  <c r="AA657" i="1"/>
  <c r="AA509" i="1"/>
  <c r="AA658" i="1"/>
  <c r="AA374" i="1"/>
  <c r="AA659" i="1"/>
  <c r="AA660" i="1"/>
  <c r="AA388" i="1"/>
  <c r="AA294" i="1"/>
  <c r="AA433" i="1"/>
  <c r="AA363" i="1"/>
  <c r="AA661" i="1"/>
  <c r="AA516" i="1"/>
  <c r="AA662" i="1"/>
  <c r="AA663" i="1"/>
  <c r="AA550" i="1"/>
  <c r="AA352" i="1"/>
  <c r="AA404" i="1"/>
  <c r="AA519" i="1"/>
  <c r="AA557" i="1"/>
  <c r="AA289" i="1"/>
  <c r="AA391" i="1"/>
  <c r="AA664" i="1"/>
  <c r="AA308" i="1"/>
  <c r="AA355" i="1"/>
  <c r="AA293" i="1"/>
  <c r="AA467" i="1"/>
  <c r="AA665" i="1"/>
  <c r="AA317" i="1"/>
  <c r="AA528" i="1"/>
  <c r="AA407" i="1"/>
  <c r="AA543" i="1"/>
  <c r="AA491" i="1"/>
  <c r="AA462" i="1"/>
  <c r="AA379" i="1"/>
  <c r="AA290" i="1"/>
  <c r="AA666" i="1"/>
  <c r="AA305" i="1"/>
  <c r="AA566" i="1"/>
  <c r="AA490" i="1"/>
  <c r="AA581" i="1"/>
  <c r="AA303" i="1"/>
  <c r="AA667" i="1"/>
  <c r="AA357" i="1"/>
  <c r="AA373" i="1"/>
  <c r="AA419" i="1"/>
  <c r="AA349" i="1"/>
  <c r="AA494" i="1"/>
  <c r="AA445" i="1"/>
  <c r="AA420" i="1"/>
  <c r="AA422" i="1"/>
  <c r="AA302" i="1"/>
  <c r="AA335" i="1"/>
  <c r="AA453" i="1"/>
  <c r="AA343" i="1"/>
  <c r="AA313" i="1"/>
  <c r="AA346" i="1"/>
  <c r="AA393" i="1"/>
  <c r="AA588" i="1"/>
  <c r="AA593" i="1"/>
  <c r="AA582" i="1"/>
  <c r="AA571" i="1"/>
  <c r="AA508" i="1"/>
  <c r="AA578" i="1"/>
  <c r="AA325" i="1"/>
  <c r="AA359" i="1"/>
  <c r="AA515" i="1"/>
  <c r="AA498" i="1"/>
  <c r="AA473" i="1"/>
  <c r="AA597" i="1"/>
  <c r="AA561" i="1"/>
  <c r="AA551" i="1"/>
  <c r="AA327" i="1"/>
  <c r="AA324" i="1"/>
  <c r="AA466" i="1"/>
  <c r="AA585" i="1"/>
  <c r="AA574" i="1"/>
  <c r="AA570" i="1"/>
  <c r="AA472" i="1"/>
  <c r="AA475" i="1"/>
  <c r="AA480" i="1"/>
  <c r="AA400" i="1"/>
  <c r="AA452" i="1"/>
  <c r="AA408" i="1"/>
  <c r="AA377" i="1"/>
  <c r="AA520" i="1"/>
  <c r="AA477" i="1"/>
  <c r="AA615" i="1"/>
  <c r="AA613" i="1"/>
  <c r="AA358" i="1"/>
  <c r="AA668" i="1"/>
  <c r="AA380" i="1"/>
  <c r="AA315" i="1"/>
  <c r="AA441" i="1"/>
  <c r="AA669" i="1"/>
  <c r="AA311" i="1"/>
  <c r="AA341" i="1"/>
  <c r="AA295" i="1"/>
  <c r="AA430" i="1"/>
  <c r="AA470" i="1"/>
  <c r="AA432" i="1"/>
  <c r="AA495" i="1"/>
  <c r="AA367" i="1"/>
  <c r="AA555" i="1"/>
  <c r="AA484" i="1"/>
  <c r="AA596" i="1"/>
  <c r="AA522" i="1"/>
  <c r="AA670" i="1"/>
  <c r="AA671" i="1"/>
  <c r="AA545" i="1"/>
  <c r="AA437" i="1"/>
  <c r="AA579" i="1"/>
  <c r="AA439" i="1"/>
  <c r="AA332" i="1"/>
  <c r="AA672" i="1"/>
  <c r="AA291" i="1"/>
  <c r="AA354" i="1"/>
  <c r="AA292" i="1"/>
  <c r="AA398" i="1"/>
  <c r="AA614" i="1"/>
  <c r="AA603" i="1"/>
  <c r="AA488" i="1"/>
  <c r="AA463" i="1"/>
  <c r="AA322" i="1"/>
  <c r="AA503" i="1"/>
  <c r="AA554" i="1"/>
  <c r="AA483" i="1"/>
  <c r="AA402" i="1"/>
  <c r="AA673" i="1"/>
  <c r="AA674" i="1"/>
  <c r="AA316" i="1"/>
  <c r="AA301" i="1"/>
  <c r="AA675" i="1"/>
  <c r="AA368" i="1"/>
  <c r="AA676" i="1"/>
  <c r="AA412" i="1"/>
  <c r="AA493" i="1"/>
  <c r="AA340" i="1"/>
  <c r="AA360" i="1"/>
  <c r="AA350" i="1"/>
  <c r="AA541" i="1"/>
  <c r="AA455" i="1"/>
  <c r="AA677" i="1"/>
  <c r="AA678" i="1"/>
  <c r="AA375" i="1"/>
  <c r="AA424" i="1"/>
  <c r="AA580" i="1"/>
  <c r="AA469" i="1"/>
  <c r="AA371" i="1"/>
  <c r="AA502" i="1"/>
  <c r="AA405" i="1"/>
  <c r="AA396" i="1"/>
  <c r="AA507" i="1"/>
  <c r="AA492" i="1"/>
  <c r="AA389" i="1"/>
  <c r="AA431" i="1"/>
  <c r="AA679" i="1"/>
  <c r="AA680" i="1"/>
  <c r="AA542" i="1"/>
  <c r="AA524" i="1"/>
  <c r="AA147" i="1"/>
  <c r="AA183" i="1"/>
  <c r="AA181" i="1"/>
  <c r="AA278" i="1"/>
  <c r="AA41" i="1"/>
  <c r="AA279" i="1"/>
  <c r="AA54" i="1"/>
  <c r="AA187" i="1"/>
  <c r="AA44" i="1"/>
  <c r="AA76" i="1"/>
  <c r="AA196" i="1"/>
  <c r="AA21" i="1"/>
  <c r="AA23" i="1"/>
  <c r="AA110" i="1"/>
  <c r="AA148" i="1"/>
  <c r="AA152" i="1"/>
  <c r="AA280" i="1"/>
  <c r="AA28" i="1"/>
  <c r="AA20" i="1"/>
  <c r="AA158" i="1"/>
  <c r="AA91" i="1"/>
  <c r="AA208" i="1"/>
  <c r="AA40" i="1"/>
  <c r="AA281" i="1"/>
  <c r="AA201" i="1"/>
  <c r="AA696" i="1"/>
  <c r="AA684" i="1"/>
  <c r="AA204" i="1"/>
  <c r="AA236" i="1"/>
  <c r="AA186" i="1"/>
  <c r="AA282" i="1"/>
  <c r="AA135" i="1"/>
  <c r="AA70" i="1"/>
  <c r="AA77" i="1"/>
  <c r="AA96" i="1"/>
  <c r="AA202" i="1"/>
  <c r="AA229" i="1"/>
  <c r="AA283" i="1"/>
  <c r="AA136" i="1"/>
  <c r="AA188" i="1"/>
  <c r="AA689" i="1"/>
  <c r="AA727" i="1"/>
  <c r="AA85" i="1"/>
  <c r="AA53" i="1"/>
  <c r="AA167" i="1"/>
  <c r="AA27" i="1"/>
  <c r="AA107" i="1"/>
  <c r="AA129" i="1"/>
  <c r="AA284" i="1"/>
  <c r="AA56" i="1"/>
  <c r="AA45" i="1"/>
  <c r="AA133" i="1"/>
  <c r="AA114" i="1"/>
  <c r="AA185" i="1"/>
  <c r="AA285" i="1"/>
  <c r="AA138" i="1"/>
  <c r="AA131" i="1"/>
  <c r="AA748" i="1"/>
  <c r="AA752" i="1"/>
  <c r="AA757" i="1"/>
  <c r="AA750" i="1"/>
  <c r="AA745" i="1"/>
  <c r="AA749" i="1"/>
  <c r="AA759" i="1"/>
  <c r="AA743" i="1"/>
  <c r="AA737" i="1"/>
  <c r="AA760" i="1"/>
  <c r="AA756" i="1"/>
  <c r="AA739" i="1"/>
  <c r="AA741" i="1"/>
  <c r="AA754" i="1"/>
  <c r="AA740" i="1"/>
  <c r="AA761" i="1"/>
  <c r="AA747" i="1"/>
  <c r="AA755" i="1"/>
  <c r="AA753" i="1"/>
  <c r="AA738" i="1"/>
  <c r="AA762" i="1"/>
  <c r="AA758" i="1"/>
  <c r="AA742" i="1"/>
  <c r="AA746" i="1"/>
  <c r="AA751" i="1"/>
  <c r="AA744" i="1"/>
  <c r="AA736" i="1"/>
  <c r="AA160" i="1"/>
  <c r="AA286" i="1"/>
  <c r="AA287" i="1"/>
  <c r="AA215" i="1"/>
  <c r="AA685" i="1"/>
  <c r="AA697" i="1"/>
  <c r="AA766" i="1"/>
  <c r="AA764" i="1"/>
  <c r="AA765" i="1"/>
  <c r="AA767" i="1"/>
  <c r="AA205" i="1"/>
  <c r="AA89" i="1"/>
  <c r="AC170" i="1"/>
  <c r="AC123" i="1"/>
  <c r="AC57" i="1"/>
  <c r="AC702" i="1"/>
  <c r="AC700" i="1"/>
  <c r="AC688" i="1"/>
  <c r="AC699" i="1"/>
  <c r="AC682" i="1"/>
  <c r="AC703" i="1"/>
  <c r="AC707" i="1"/>
  <c r="AC708" i="1"/>
  <c r="AC681" i="1"/>
  <c r="AC683" i="1"/>
  <c r="AC701" i="1"/>
  <c r="AC692" i="1"/>
  <c r="AC705" i="1"/>
  <c r="AC686" i="1"/>
  <c r="AC709" i="1"/>
  <c r="AC226" i="1"/>
  <c r="AC112" i="1"/>
  <c r="AC124" i="1"/>
  <c r="AC141" i="1"/>
  <c r="AC172" i="1"/>
  <c r="AC142" i="1"/>
  <c r="AC62" i="1"/>
  <c r="AC68" i="1"/>
  <c r="AC126" i="1"/>
  <c r="AC238" i="1"/>
  <c r="AC95" i="1"/>
  <c r="AC69" i="1"/>
  <c r="AC104" i="1"/>
  <c r="AC55" i="1"/>
  <c r="AC242" i="1"/>
  <c r="AC117" i="1"/>
  <c r="AC173" i="1"/>
  <c r="AC18" i="1"/>
  <c r="AC212" i="1"/>
  <c r="AC50" i="1"/>
  <c r="AC199" i="1"/>
  <c r="AC19" i="1"/>
  <c r="AC243" i="1"/>
  <c r="AC191" i="1"/>
  <c r="AC237" i="1"/>
  <c r="AC710" i="1"/>
  <c r="AC687" i="1"/>
  <c r="AC190" i="1"/>
  <c r="AC193" i="1"/>
  <c r="AC150" i="1"/>
  <c r="AC214" i="1"/>
  <c r="AC98" i="1"/>
  <c r="AC5" i="1"/>
  <c r="AC103" i="1"/>
  <c r="AC149" i="1"/>
  <c r="AC24" i="1"/>
  <c r="AC143" i="1"/>
  <c r="AC97" i="1"/>
  <c r="AC71" i="1"/>
  <c r="AC60" i="1"/>
  <c r="AC163" i="1"/>
  <c r="AC244" i="1"/>
  <c r="AC245" i="1"/>
  <c r="AC116" i="1"/>
  <c r="AC246" i="1"/>
  <c r="AC217" i="1"/>
  <c r="AC164" i="1"/>
  <c r="AC99" i="1"/>
  <c r="AC166" i="1"/>
  <c r="AC698" i="1"/>
  <c r="AC704" i="1"/>
  <c r="AC101" i="1"/>
  <c r="AC125" i="1"/>
  <c r="AC88" i="1"/>
  <c r="AC171" i="1"/>
  <c r="AC194" i="1"/>
  <c r="AC216" i="1"/>
  <c r="AC15" i="1"/>
  <c r="AC247" i="1"/>
  <c r="AC49" i="1"/>
  <c r="AC65" i="1"/>
  <c r="AC52" i="1"/>
  <c r="AC115" i="1"/>
  <c r="AC174" i="1"/>
  <c r="AC4" i="1"/>
  <c r="AC51" i="1"/>
  <c r="AC139" i="1"/>
  <c r="AC235" i="1"/>
  <c r="AC176" i="1"/>
  <c r="AC74" i="1"/>
  <c r="AC3" i="1"/>
  <c r="AC113" i="1"/>
  <c r="AC29" i="1"/>
  <c r="AC224" i="1"/>
  <c r="AC42" i="1"/>
  <c r="AC220" i="1"/>
  <c r="AC59" i="1"/>
  <c r="AC83" i="1"/>
  <c r="AC248" i="1"/>
  <c r="AC725" i="1"/>
  <c r="AC728" i="1"/>
  <c r="AC729" i="1"/>
  <c r="AC732" i="1"/>
  <c r="AC731" i="1"/>
  <c r="AC733" i="1"/>
  <c r="AC734" i="1"/>
  <c r="AC730" i="1"/>
  <c r="AC735" i="1"/>
  <c r="AC726" i="1"/>
  <c r="AC722" i="1"/>
  <c r="AC721" i="1"/>
  <c r="AC213" i="1"/>
  <c r="AC249" i="1"/>
  <c r="AC109" i="1"/>
  <c r="AC691" i="1"/>
  <c r="AC694" i="1"/>
  <c r="AC250" i="1"/>
  <c r="AC706" i="1"/>
  <c r="AC690" i="1"/>
  <c r="AC693" i="1"/>
  <c r="AC58" i="1"/>
  <c r="AC251" i="1"/>
  <c r="AC252" i="1"/>
  <c r="AC22" i="1"/>
  <c r="AC38" i="1"/>
  <c r="AC118" i="1"/>
  <c r="AC47" i="1"/>
  <c r="AC179" i="1"/>
  <c r="AC9" i="1"/>
  <c r="AC82" i="1"/>
  <c r="AC78" i="1"/>
  <c r="AC763" i="1"/>
  <c r="AC86" i="1"/>
  <c r="AC100" i="1"/>
  <c r="AC30" i="1"/>
  <c r="AC122" i="1"/>
  <c r="AC48" i="1"/>
  <c r="AC140" i="1"/>
  <c r="AC66" i="1"/>
  <c r="AC241" i="1"/>
  <c r="AC723" i="1"/>
  <c r="AC695" i="1"/>
  <c r="AC232" i="1"/>
  <c r="AC234" i="1"/>
  <c r="AC195" i="1"/>
  <c r="AC206" i="1"/>
  <c r="AC13" i="1"/>
  <c r="AC182" i="1"/>
  <c r="AC26" i="1"/>
  <c r="AC175" i="1"/>
  <c r="AC90" i="1"/>
  <c r="AC37" i="1"/>
  <c r="AC92" i="1"/>
  <c r="AC253" i="1"/>
  <c r="AC132" i="1"/>
  <c r="AC10" i="1"/>
  <c r="AC254" i="1"/>
  <c r="AC80" i="1"/>
  <c r="AC7" i="1"/>
  <c r="AC221" i="1"/>
  <c r="AC93" i="1"/>
  <c r="AC162" i="1"/>
  <c r="AC128" i="1"/>
  <c r="AC35" i="1"/>
  <c r="AC255" i="1"/>
  <c r="AC256" i="1"/>
  <c r="AC230" i="1"/>
  <c r="AC120" i="1"/>
  <c r="AC146" i="1"/>
  <c r="AC17" i="1"/>
  <c r="AC222" i="1"/>
  <c r="AC105" i="1"/>
  <c r="AC200" i="1"/>
  <c r="AC39" i="1"/>
  <c r="AC46" i="1"/>
  <c r="AC64" i="1"/>
  <c r="AC31" i="1"/>
  <c r="AC43" i="1"/>
  <c r="AC87" i="1"/>
  <c r="AC32" i="1"/>
  <c r="AC73" i="1"/>
  <c r="AC257" i="1"/>
  <c r="AC11" i="1"/>
  <c r="AC8" i="1"/>
  <c r="AC121" i="1"/>
  <c r="AC239" i="1"/>
  <c r="AC108" i="1"/>
  <c r="AC72" i="1"/>
  <c r="AC127" i="1"/>
  <c r="AC718" i="1"/>
  <c r="AC720" i="1"/>
  <c r="AC719" i="1"/>
  <c r="AC711" i="1"/>
  <c r="AC713" i="1"/>
  <c r="AC712" i="1"/>
  <c r="AC715" i="1"/>
  <c r="AC717" i="1"/>
  <c r="AC724" i="1"/>
  <c r="AC714" i="1"/>
  <c r="AC716" i="1"/>
  <c r="AC145" i="1"/>
  <c r="AC177" i="1"/>
  <c r="AC207" i="1"/>
  <c r="AC178" i="1"/>
  <c r="AC240" i="1"/>
  <c r="AC155" i="1"/>
  <c r="AC134" i="1"/>
  <c r="AC258" i="1"/>
  <c r="AC192" i="1"/>
  <c r="AC259" i="1"/>
  <c r="AC12" i="1"/>
  <c r="AC84" i="1"/>
  <c r="AC161" i="1"/>
  <c r="AC165" i="1"/>
  <c r="AC61" i="1"/>
  <c r="AC36" i="1"/>
  <c r="AC260" i="1"/>
  <c r="AC261" i="1"/>
  <c r="AC262" i="1"/>
  <c r="AC219" i="1"/>
  <c r="AC233" i="1"/>
  <c r="AC33" i="1"/>
  <c r="AC198" i="1"/>
  <c r="AC263" i="1"/>
  <c r="AC169" i="1"/>
  <c r="AC189" i="1"/>
  <c r="AC34" i="1"/>
  <c r="AC153" i="1"/>
  <c r="AC211" i="1"/>
  <c r="AC228" i="1"/>
  <c r="AC264" i="1"/>
  <c r="AC265" i="1"/>
  <c r="AC266" i="1"/>
  <c r="AC267" i="1"/>
  <c r="AC268" i="1"/>
  <c r="AC25" i="1"/>
  <c r="AC6" i="1"/>
  <c r="AC269" i="1"/>
  <c r="AC75" i="1"/>
  <c r="AC137" i="1"/>
  <c r="AC94" i="1"/>
  <c r="AC14" i="1"/>
  <c r="AC154" i="1"/>
  <c r="AC270" i="1"/>
  <c r="AC63" i="1"/>
  <c r="AC271" i="1"/>
  <c r="AC231" i="1"/>
  <c r="AC203" i="1"/>
  <c r="AC180" i="1"/>
  <c r="AC223" i="1"/>
  <c r="AC106" i="1"/>
  <c r="AC151" i="1"/>
  <c r="AC79" i="1"/>
  <c r="AC81" i="1"/>
  <c r="AC159" i="1"/>
  <c r="AC272" i="1"/>
  <c r="AC156" i="1"/>
  <c r="AC168" i="1"/>
  <c r="AC144" i="1"/>
  <c r="AC273" i="1"/>
  <c r="AC102" i="1"/>
  <c r="AC274" i="1"/>
  <c r="AC184" i="1"/>
  <c r="AC67" i="1"/>
  <c r="AC16" i="1"/>
  <c r="AC275" i="1"/>
  <c r="AC119" i="1"/>
  <c r="AC210" i="1"/>
  <c r="AC276" i="1"/>
  <c r="AC218" i="1"/>
  <c r="AC227" i="1"/>
  <c r="AC130" i="1"/>
  <c r="AC277" i="1"/>
  <c r="AC157" i="1"/>
  <c r="AC111" i="1"/>
  <c r="AC209" i="1"/>
  <c r="AC225" i="1"/>
  <c r="AC197" i="1"/>
  <c r="AC2" i="1"/>
  <c r="AC618" i="1"/>
  <c r="AC418" i="1"/>
  <c r="AC381" i="1"/>
  <c r="AC299" i="1"/>
  <c r="AC619" i="1"/>
  <c r="AC307" i="1"/>
  <c r="AC500" i="1"/>
  <c r="AC440" i="1"/>
  <c r="AC620" i="1"/>
  <c r="AC421" i="1"/>
  <c r="AC573" i="1"/>
  <c r="AC621" i="1"/>
  <c r="AC487" i="1"/>
  <c r="AC454" i="1"/>
  <c r="AC533" i="1"/>
  <c r="AC529" i="1"/>
  <c r="AC485" i="1"/>
  <c r="AC610" i="1"/>
  <c r="AC611" i="1"/>
  <c r="AC369" i="1"/>
  <c r="AC622" i="1"/>
  <c r="AC598" i="1"/>
  <c r="AC623" i="1"/>
  <c r="AC523" i="1"/>
  <c r="AC365" i="1"/>
  <c r="AC348" i="1"/>
  <c r="AC436" i="1"/>
  <c r="AC624" i="1"/>
  <c r="AC438" i="1"/>
  <c r="AC537" i="1"/>
  <c r="AC314" i="1"/>
  <c r="AC562" i="1"/>
  <c r="AC336" i="1"/>
  <c r="AC362" i="1"/>
  <c r="AC353" i="1"/>
  <c r="AC539" i="1"/>
  <c r="AC451" i="1"/>
  <c r="AC486" i="1"/>
  <c r="AC447" i="1"/>
  <c r="AC390" i="1"/>
  <c r="AC366" i="1"/>
  <c r="AC415" i="1"/>
  <c r="AC584" i="1"/>
  <c r="AC326" i="1"/>
  <c r="AC625" i="1"/>
  <c r="AC395" i="1"/>
  <c r="AC319" i="1"/>
  <c r="AC552" i="1"/>
  <c r="AC591" i="1"/>
  <c r="AC525" i="1"/>
  <c r="AC468" i="1"/>
  <c r="AC478" i="1"/>
  <c r="AC378" i="1"/>
  <c r="AC489" i="1"/>
  <c r="AC576" i="1"/>
  <c r="AC382" i="1"/>
  <c r="AC321" i="1"/>
  <c r="AC626" i="1"/>
  <c r="AC627" i="1"/>
  <c r="AC628" i="1"/>
  <c r="AC599" i="1"/>
  <c r="AC629" i="1"/>
  <c r="AC608" i="1"/>
  <c r="AC559" i="1"/>
  <c r="AC609" i="1"/>
  <c r="AC459" i="1"/>
  <c r="AC461" i="1"/>
  <c r="AC630" i="1"/>
  <c r="AC450" i="1"/>
  <c r="AC521" i="1"/>
  <c r="AC423" i="1"/>
  <c r="AC297" i="1"/>
  <c r="AC631" i="1"/>
  <c r="AC449" i="1"/>
  <c r="AC384" i="1"/>
  <c r="AC386" i="1"/>
  <c r="AC586" i="1"/>
  <c r="AC351" i="1"/>
  <c r="AC594" i="1"/>
  <c r="AC370" i="1"/>
  <c r="AC558" i="1"/>
  <c r="AC376" i="1"/>
  <c r="AC530" i="1"/>
  <c r="AC513" i="1"/>
  <c r="AC632" i="1"/>
  <c r="AC499" i="1"/>
  <c r="AC577" i="1"/>
  <c r="AC482" i="1"/>
  <c r="AC564" i="1"/>
  <c r="AC526" i="1"/>
  <c r="AC309" i="1"/>
  <c r="AC406" i="1"/>
  <c r="AC549" i="1"/>
  <c r="AC514" i="1"/>
  <c r="AC535" i="1"/>
  <c r="AC536" i="1"/>
  <c r="AC633" i="1"/>
  <c r="AC547" i="1"/>
  <c r="AC479" i="1"/>
  <c r="AC592" i="1"/>
  <c r="AC387" i="1"/>
  <c r="AC587" i="1"/>
  <c r="AC634" i="1"/>
  <c r="AC540" i="1"/>
  <c r="AC456" i="1"/>
  <c r="AC383" i="1"/>
  <c r="AC546" i="1"/>
  <c r="AC635" i="1"/>
  <c r="AC426" i="1"/>
  <c r="AC527" i="1"/>
  <c r="AC296" i="1"/>
  <c r="AC636" i="1"/>
  <c r="AC637" i="1"/>
  <c r="AC425" i="1"/>
  <c r="AC300" i="1"/>
  <c r="AC320" i="1"/>
  <c r="AC638" i="1"/>
  <c r="AC563" i="1"/>
  <c r="AC330" i="1"/>
  <c r="AC544" i="1"/>
  <c r="AC496" i="1"/>
  <c r="AC583" i="1"/>
  <c r="AC338" i="1"/>
  <c r="AC589" i="1"/>
  <c r="AC532" i="1"/>
  <c r="AC411" i="1"/>
  <c r="AC364" i="1"/>
  <c r="AC481" i="1"/>
  <c r="AC505" i="1"/>
  <c r="AC604" i="1"/>
  <c r="AC639" i="1"/>
  <c r="AC385" i="1"/>
  <c r="AC640" i="1"/>
  <c r="AC448" i="1"/>
  <c r="AC602" i="1"/>
  <c r="AC565" i="1"/>
  <c r="AC568" i="1"/>
  <c r="AC538" i="1"/>
  <c r="AC518" i="1"/>
  <c r="AC595" i="1"/>
  <c r="AC553" i="1"/>
  <c r="AC413" i="1"/>
  <c r="AC497" i="1"/>
  <c r="AC641" i="1"/>
  <c r="AC569" i="1"/>
  <c r="AC397" i="1"/>
  <c r="AC606" i="1"/>
  <c r="AC534" i="1"/>
  <c r="AC501" i="1"/>
  <c r="AC510" i="1"/>
  <c r="AC572" i="1"/>
  <c r="AC612" i="1"/>
  <c r="AC607" i="1"/>
  <c r="AC642" i="1"/>
  <c r="AC334" i="1"/>
  <c r="AC556" i="1"/>
  <c r="AC511" i="1"/>
  <c r="AC356" i="1"/>
  <c r="AC312" i="1"/>
  <c r="AC600" i="1"/>
  <c r="AC605" i="1"/>
  <c r="AC446" i="1"/>
  <c r="AC601" i="1"/>
  <c r="AC616" i="1"/>
  <c r="AC617" i="1"/>
  <c r="AC342" i="1"/>
  <c r="AC643" i="1"/>
  <c r="AC401" i="1"/>
  <c r="AC644" i="1"/>
  <c r="AC531" i="1"/>
  <c r="AC318" i="1"/>
  <c r="AC345" i="1"/>
  <c r="AC645" i="1"/>
  <c r="AC331" i="1"/>
  <c r="AC409" i="1"/>
  <c r="AC310" i="1"/>
  <c r="AC646" i="1"/>
  <c r="AC337" i="1"/>
  <c r="AC399" i="1"/>
  <c r="AC333" i="1"/>
  <c r="AC504" i="1"/>
  <c r="AC548" i="1"/>
  <c r="AC465" i="1"/>
  <c r="AC464" i="1"/>
  <c r="AC392" i="1"/>
  <c r="AC567" i="1"/>
  <c r="AC339" i="1"/>
  <c r="AC560" i="1"/>
  <c r="AC647" i="1"/>
  <c r="AC648" i="1"/>
  <c r="AC649" i="1"/>
  <c r="AC416" i="1"/>
  <c r="AC427" i="1"/>
  <c r="AC458" i="1"/>
  <c r="AC476" i="1"/>
  <c r="AC474" i="1"/>
  <c r="AC429" i="1"/>
  <c r="AC435" i="1"/>
  <c r="AC323" i="1"/>
  <c r="AC414" i="1"/>
  <c r="AC650" i="1"/>
  <c r="AC347" i="1"/>
  <c r="AC512" i="1"/>
  <c r="AC410" i="1"/>
  <c r="AC442" i="1"/>
  <c r="AC403" i="1"/>
  <c r="AC590" i="1"/>
  <c r="AC444" i="1"/>
  <c r="AC428" i="1"/>
  <c r="AC506" i="1"/>
  <c r="AC304" i="1"/>
  <c r="AC288" i="1"/>
  <c r="AC517" i="1"/>
  <c r="AC361" i="1"/>
  <c r="AC651" i="1"/>
  <c r="AC457" i="1"/>
  <c r="AC344" i="1"/>
  <c r="AC328" i="1"/>
  <c r="AC652" i="1"/>
  <c r="AC394" i="1"/>
  <c r="AC329" i="1"/>
  <c r="AC417" i="1"/>
  <c r="AC471" i="1"/>
  <c r="AC306" i="1"/>
  <c r="AC653" i="1"/>
  <c r="AC654" i="1"/>
  <c r="AC298" i="1"/>
  <c r="AC372" i="1"/>
  <c r="AC655" i="1"/>
  <c r="AC575" i="1"/>
  <c r="AC434" i="1"/>
  <c r="AC460" i="1"/>
  <c r="AC656" i="1"/>
  <c r="AC443" i="1"/>
  <c r="AC657" i="1"/>
  <c r="AC509" i="1"/>
  <c r="AC658" i="1"/>
  <c r="AC374" i="1"/>
  <c r="AC659" i="1"/>
  <c r="AC660" i="1"/>
  <c r="AC388" i="1"/>
  <c r="AC294" i="1"/>
  <c r="AC433" i="1"/>
  <c r="AC363" i="1"/>
  <c r="AC661" i="1"/>
  <c r="AC516" i="1"/>
  <c r="AC662" i="1"/>
  <c r="AC663" i="1"/>
  <c r="AC550" i="1"/>
  <c r="AC352" i="1"/>
  <c r="AC404" i="1"/>
  <c r="AC519" i="1"/>
  <c r="AC557" i="1"/>
  <c r="AC289" i="1"/>
  <c r="AC391" i="1"/>
  <c r="AC664" i="1"/>
  <c r="AC308" i="1"/>
  <c r="AC355" i="1"/>
  <c r="AC293" i="1"/>
  <c r="AC467" i="1"/>
  <c r="AC665" i="1"/>
  <c r="AC317" i="1"/>
  <c r="AC528" i="1"/>
  <c r="AC407" i="1"/>
  <c r="AC543" i="1"/>
  <c r="AC491" i="1"/>
  <c r="AC462" i="1"/>
  <c r="AC379" i="1"/>
  <c r="AC290" i="1"/>
  <c r="AC666" i="1"/>
  <c r="AC305" i="1"/>
  <c r="AC566" i="1"/>
  <c r="AC490" i="1"/>
  <c r="AC581" i="1"/>
  <c r="AC303" i="1"/>
  <c r="AC667" i="1"/>
  <c r="AC357" i="1"/>
  <c r="AC373" i="1"/>
  <c r="AC419" i="1"/>
  <c r="AC349" i="1"/>
  <c r="AC494" i="1"/>
  <c r="AC445" i="1"/>
  <c r="AC420" i="1"/>
  <c r="AC422" i="1"/>
  <c r="AC302" i="1"/>
  <c r="AC335" i="1"/>
  <c r="AC453" i="1"/>
  <c r="AC343" i="1"/>
  <c r="AC313" i="1"/>
  <c r="AC346" i="1"/>
  <c r="AC393" i="1"/>
  <c r="AC588" i="1"/>
  <c r="AC593" i="1"/>
  <c r="AC582" i="1"/>
  <c r="AC571" i="1"/>
  <c r="AC508" i="1"/>
  <c r="AC578" i="1"/>
  <c r="AC325" i="1"/>
  <c r="AC359" i="1"/>
  <c r="AC515" i="1"/>
  <c r="AC498" i="1"/>
  <c r="AC473" i="1"/>
  <c r="AC597" i="1"/>
  <c r="AC561" i="1"/>
  <c r="AC551" i="1"/>
  <c r="AC327" i="1"/>
  <c r="AC324" i="1"/>
  <c r="AC466" i="1"/>
  <c r="AC585" i="1"/>
  <c r="AC574" i="1"/>
  <c r="AC570" i="1"/>
  <c r="AC472" i="1"/>
  <c r="AC475" i="1"/>
  <c r="AC480" i="1"/>
  <c r="AC400" i="1"/>
  <c r="AC452" i="1"/>
  <c r="AC408" i="1"/>
  <c r="AC377" i="1"/>
  <c r="AC520" i="1"/>
  <c r="AC477" i="1"/>
  <c r="AC615" i="1"/>
  <c r="AC613" i="1"/>
  <c r="AC358" i="1"/>
  <c r="AC668" i="1"/>
  <c r="AC380" i="1"/>
  <c r="AC315" i="1"/>
  <c r="AC441" i="1"/>
  <c r="AC669" i="1"/>
  <c r="AC311" i="1"/>
  <c r="AC341" i="1"/>
  <c r="AC295" i="1"/>
  <c r="AC430" i="1"/>
  <c r="AC470" i="1"/>
  <c r="AC432" i="1"/>
  <c r="AC495" i="1"/>
  <c r="AC367" i="1"/>
  <c r="AC555" i="1"/>
  <c r="AC484" i="1"/>
  <c r="AC596" i="1"/>
  <c r="AC522" i="1"/>
  <c r="AC670" i="1"/>
  <c r="AC671" i="1"/>
  <c r="AC545" i="1"/>
  <c r="AC437" i="1"/>
  <c r="AC579" i="1"/>
  <c r="AC439" i="1"/>
  <c r="AC332" i="1"/>
  <c r="AC672" i="1"/>
  <c r="AC291" i="1"/>
  <c r="AC354" i="1"/>
  <c r="AC292" i="1"/>
  <c r="AC398" i="1"/>
  <c r="AC614" i="1"/>
  <c r="AC603" i="1"/>
  <c r="AC488" i="1"/>
  <c r="AC463" i="1"/>
  <c r="AC322" i="1"/>
  <c r="AC503" i="1"/>
  <c r="AC554" i="1"/>
  <c r="AC483" i="1"/>
  <c r="AC402" i="1"/>
  <c r="AC673" i="1"/>
  <c r="AC674" i="1"/>
  <c r="AC316" i="1"/>
  <c r="AC301" i="1"/>
  <c r="AC675" i="1"/>
  <c r="AC368" i="1"/>
  <c r="AC676" i="1"/>
  <c r="AC412" i="1"/>
  <c r="AC493" i="1"/>
  <c r="AC340" i="1"/>
  <c r="AC360" i="1"/>
  <c r="AC350" i="1"/>
  <c r="AC541" i="1"/>
  <c r="AC455" i="1"/>
  <c r="AC677" i="1"/>
  <c r="AC678" i="1"/>
  <c r="AC375" i="1"/>
  <c r="AC424" i="1"/>
  <c r="AC580" i="1"/>
  <c r="AC469" i="1"/>
  <c r="AC371" i="1"/>
  <c r="AC502" i="1"/>
  <c r="AC405" i="1"/>
  <c r="AC396" i="1"/>
  <c r="AC507" i="1"/>
  <c r="AC492" i="1"/>
  <c r="AC389" i="1"/>
  <c r="AC431" i="1"/>
  <c r="AC679" i="1"/>
  <c r="AC680" i="1"/>
  <c r="AC542" i="1"/>
  <c r="AC524" i="1"/>
  <c r="AC147" i="1"/>
  <c r="AC183" i="1"/>
  <c r="AC181" i="1"/>
  <c r="AC278" i="1"/>
  <c r="AC41" i="1"/>
  <c r="AC279" i="1"/>
  <c r="AC54" i="1"/>
  <c r="AC187" i="1"/>
  <c r="AC44" i="1"/>
  <c r="AC76" i="1"/>
  <c r="AC196" i="1"/>
  <c r="AC21" i="1"/>
  <c r="AC23" i="1"/>
  <c r="AC110" i="1"/>
  <c r="AC148" i="1"/>
  <c r="AC152" i="1"/>
  <c r="AC280" i="1"/>
  <c r="AC28" i="1"/>
  <c r="AC20" i="1"/>
  <c r="AC158" i="1"/>
  <c r="AC91" i="1"/>
  <c r="AC208" i="1"/>
  <c r="AC40" i="1"/>
  <c r="AC281" i="1"/>
  <c r="AC201" i="1"/>
  <c r="AC696" i="1"/>
  <c r="AC684" i="1"/>
  <c r="AC204" i="1"/>
  <c r="AC236" i="1"/>
  <c r="AC186" i="1"/>
  <c r="AC282" i="1"/>
  <c r="AC135" i="1"/>
  <c r="AC70" i="1"/>
  <c r="AC77" i="1"/>
  <c r="AC96" i="1"/>
  <c r="AC202" i="1"/>
  <c r="AC229" i="1"/>
  <c r="AC283" i="1"/>
  <c r="AC136" i="1"/>
  <c r="AC188" i="1"/>
  <c r="AC689" i="1"/>
  <c r="AC727" i="1"/>
  <c r="AC85" i="1"/>
  <c r="AC53" i="1"/>
  <c r="AC167" i="1"/>
  <c r="AC27" i="1"/>
  <c r="AC107" i="1"/>
  <c r="AC129" i="1"/>
  <c r="AC284" i="1"/>
  <c r="AC56" i="1"/>
  <c r="AC45" i="1"/>
  <c r="AC133" i="1"/>
  <c r="AC114" i="1"/>
  <c r="AC185" i="1"/>
  <c r="AC285" i="1"/>
  <c r="AC138" i="1"/>
  <c r="AC131" i="1"/>
  <c r="AC748" i="1"/>
  <c r="AC752" i="1"/>
  <c r="AC757" i="1"/>
  <c r="AC750" i="1"/>
  <c r="AC745" i="1"/>
  <c r="AC749" i="1"/>
  <c r="AC759" i="1"/>
  <c r="AC743" i="1"/>
  <c r="AC737" i="1"/>
  <c r="AC760" i="1"/>
  <c r="AC756" i="1"/>
  <c r="AC739" i="1"/>
  <c r="AC741" i="1"/>
  <c r="AC754" i="1"/>
  <c r="AC740" i="1"/>
  <c r="AC761" i="1"/>
  <c r="AC747" i="1"/>
  <c r="AC755" i="1"/>
  <c r="AC753" i="1"/>
  <c r="AC738" i="1"/>
  <c r="AC762" i="1"/>
  <c r="AC758" i="1"/>
  <c r="AC742" i="1"/>
  <c r="AC746" i="1"/>
  <c r="AC751" i="1"/>
  <c r="AC744" i="1"/>
  <c r="AC736" i="1"/>
  <c r="AC160" i="1"/>
  <c r="AC286" i="1"/>
  <c r="AC287" i="1"/>
  <c r="AC215" i="1"/>
  <c r="AC685" i="1"/>
  <c r="AC697" i="1"/>
  <c r="AC766" i="1"/>
  <c r="AC764" i="1"/>
  <c r="AC765" i="1"/>
  <c r="AC767" i="1"/>
  <c r="AC205" i="1"/>
  <c r="AC89" i="1"/>
  <c r="O3" i="5" l="1"/>
  <c r="P3" i="5" s="1"/>
  <c r="O4" i="5"/>
  <c r="P4" i="5" s="1"/>
  <c r="O5" i="5"/>
  <c r="P5" i="5" s="1"/>
  <c r="O6" i="5"/>
  <c r="P6" i="5" s="1"/>
  <c r="O7" i="5"/>
  <c r="P7" i="5" s="1"/>
  <c r="O8" i="5"/>
  <c r="P8" i="5" s="1"/>
  <c r="O9" i="5"/>
  <c r="P9" i="5" s="1"/>
  <c r="O10" i="5"/>
  <c r="P10" i="5" s="1"/>
  <c r="O11" i="5"/>
  <c r="P11" i="5" s="1"/>
  <c r="O12" i="5"/>
  <c r="P12" i="5" s="1"/>
  <c r="O13" i="5"/>
  <c r="P13" i="5" s="1"/>
  <c r="O14" i="5"/>
  <c r="P14" i="5" s="1"/>
  <c r="O15" i="5"/>
  <c r="P15" i="5" s="1"/>
  <c r="O16" i="5"/>
  <c r="P16" i="5" s="1"/>
  <c r="O17" i="5"/>
  <c r="P17" i="5" s="1"/>
  <c r="O18" i="5"/>
  <c r="P18" i="5" s="1"/>
  <c r="O19" i="5"/>
  <c r="P19" i="5" s="1"/>
  <c r="O20" i="5"/>
  <c r="P20" i="5" s="1"/>
  <c r="O21" i="5"/>
  <c r="P21" i="5" s="1"/>
  <c r="O22" i="5"/>
  <c r="P22" i="5" s="1"/>
  <c r="O23" i="5"/>
  <c r="P23" i="5" s="1"/>
  <c r="O24" i="5"/>
  <c r="P24" i="5" s="1"/>
  <c r="O25" i="5"/>
  <c r="P25" i="5" s="1"/>
  <c r="O26" i="5"/>
  <c r="P26" i="5" s="1"/>
  <c r="O27" i="5"/>
  <c r="P27" i="5" s="1"/>
  <c r="O28" i="5"/>
  <c r="P28" i="5" s="1"/>
  <c r="O29" i="5"/>
  <c r="P29" i="5" s="1"/>
  <c r="O30" i="5"/>
  <c r="P30" i="5" s="1"/>
  <c r="O31" i="5"/>
  <c r="P31" i="5" s="1"/>
  <c r="O32" i="5"/>
  <c r="P32" i="5" s="1"/>
  <c r="O33" i="5"/>
  <c r="P33" i="5" s="1"/>
  <c r="O34" i="5"/>
  <c r="P34" i="5" s="1"/>
  <c r="O35" i="5"/>
  <c r="P35" i="5" s="1"/>
  <c r="O36" i="5"/>
  <c r="P36" i="5" s="1"/>
  <c r="O37" i="5"/>
  <c r="P37" i="5" s="1"/>
  <c r="O38" i="5"/>
  <c r="P38" i="5" s="1"/>
  <c r="O39" i="5"/>
  <c r="P39" i="5" s="1"/>
  <c r="O40" i="5"/>
  <c r="P40" i="5" s="1"/>
  <c r="O41" i="5"/>
  <c r="P41" i="5" s="1"/>
  <c r="O42" i="5"/>
  <c r="P42" i="5" s="1"/>
  <c r="O43" i="5"/>
  <c r="P43" i="5" s="1"/>
  <c r="O44" i="5"/>
  <c r="P44" i="5" s="1"/>
  <c r="O45" i="5"/>
  <c r="P45" i="5" s="1"/>
  <c r="O46" i="5"/>
  <c r="P46" i="5" s="1"/>
  <c r="O47" i="5"/>
  <c r="P47" i="5" s="1"/>
  <c r="O48" i="5"/>
  <c r="P48" i="5" s="1"/>
  <c r="O49" i="5"/>
  <c r="P49" i="5" s="1"/>
  <c r="O50" i="5"/>
  <c r="P50" i="5" s="1"/>
  <c r="O51" i="5"/>
  <c r="P51" i="5" s="1"/>
  <c r="O52" i="5"/>
  <c r="P52" i="5" s="1"/>
  <c r="O53" i="5"/>
  <c r="P53" i="5" s="1"/>
  <c r="O54" i="5"/>
  <c r="P54" i="5" s="1"/>
  <c r="O55" i="5"/>
  <c r="P55" i="5" s="1"/>
  <c r="O56" i="5"/>
  <c r="P56" i="5" s="1"/>
  <c r="O57" i="5"/>
  <c r="P57" i="5" s="1"/>
  <c r="O58" i="5"/>
  <c r="P58" i="5" s="1"/>
  <c r="O59" i="5"/>
  <c r="P59" i="5" s="1"/>
  <c r="O60" i="5"/>
  <c r="P60" i="5" s="1"/>
  <c r="O61" i="5"/>
  <c r="P61" i="5" s="1"/>
  <c r="O62" i="5"/>
  <c r="P62" i="5" s="1"/>
  <c r="O63" i="5"/>
  <c r="P63" i="5" s="1"/>
  <c r="O64" i="5"/>
  <c r="P64" i="5" s="1"/>
  <c r="O65" i="5"/>
  <c r="P65" i="5" s="1"/>
  <c r="O66" i="5"/>
  <c r="P66" i="5" s="1"/>
  <c r="O67" i="5"/>
  <c r="P67" i="5" s="1"/>
  <c r="O68" i="5"/>
  <c r="P68" i="5" s="1"/>
  <c r="O69" i="5"/>
  <c r="P69" i="5" s="1"/>
  <c r="O70" i="5"/>
  <c r="P70" i="5" s="1"/>
  <c r="O71" i="5"/>
  <c r="P71" i="5" s="1"/>
  <c r="O72" i="5"/>
  <c r="P72" i="5" s="1"/>
  <c r="O73" i="5"/>
  <c r="P73" i="5" s="1"/>
  <c r="O74" i="5"/>
  <c r="P74" i="5" s="1"/>
  <c r="O75" i="5"/>
  <c r="P75" i="5" s="1"/>
  <c r="O76" i="5"/>
  <c r="P76" i="5" s="1"/>
  <c r="O77" i="5"/>
  <c r="P77" i="5" s="1"/>
  <c r="O78" i="5"/>
  <c r="P78" i="5" s="1"/>
  <c r="O79" i="5"/>
  <c r="P79" i="5" s="1"/>
  <c r="O80" i="5"/>
  <c r="P80" i="5" s="1"/>
  <c r="O81" i="5"/>
  <c r="P81" i="5" s="1"/>
  <c r="O82" i="5"/>
  <c r="P82" i="5" s="1"/>
  <c r="O83" i="5"/>
  <c r="P83" i="5" s="1"/>
  <c r="O84" i="5"/>
  <c r="P84" i="5" s="1"/>
  <c r="O85" i="5"/>
  <c r="P85" i="5" s="1"/>
  <c r="O86" i="5"/>
  <c r="P86" i="5" s="1"/>
  <c r="O87" i="5"/>
  <c r="P87" i="5" s="1"/>
  <c r="O88" i="5"/>
  <c r="P88" i="5" s="1"/>
  <c r="O89" i="5"/>
  <c r="P89" i="5" s="1"/>
  <c r="O90" i="5"/>
  <c r="P90" i="5" s="1"/>
  <c r="O91" i="5"/>
  <c r="P91" i="5" s="1"/>
  <c r="O92" i="5"/>
  <c r="P92" i="5" s="1"/>
  <c r="O93" i="5"/>
  <c r="P93" i="5" s="1"/>
  <c r="O94" i="5"/>
  <c r="P94" i="5" s="1"/>
  <c r="O95" i="5"/>
  <c r="P95" i="5" s="1"/>
  <c r="O96" i="5"/>
  <c r="P96" i="5" s="1"/>
  <c r="O97" i="5"/>
  <c r="P97" i="5" s="1"/>
  <c r="O98" i="5"/>
  <c r="P98" i="5" s="1"/>
  <c r="O99" i="5"/>
  <c r="P99" i="5" s="1"/>
  <c r="O100" i="5"/>
  <c r="P100" i="5" s="1"/>
  <c r="O101" i="5"/>
  <c r="P101" i="5" s="1"/>
  <c r="O102" i="5"/>
  <c r="P102" i="5" s="1"/>
  <c r="O103" i="5"/>
  <c r="P103" i="5" s="1"/>
  <c r="O104" i="5"/>
  <c r="P104" i="5" s="1"/>
  <c r="O105" i="5"/>
  <c r="P105" i="5" s="1"/>
  <c r="O106" i="5"/>
  <c r="P106" i="5" s="1"/>
  <c r="O107" i="5"/>
  <c r="P107" i="5" s="1"/>
  <c r="O108" i="5"/>
  <c r="P108" i="5" s="1"/>
  <c r="O109" i="5"/>
  <c r="P109" i="5" s="1"/>
  <c r="O110" i="5"/>
  <c r="P110" i="5" s="1"/>
  <c r="O111" i="5"/>
  <c r="P111" i="5" s="1"/>
  <c r="O112" i="5"/>
  <c r="P112" i="5" s="1"/>
  <c r="O113" i="5"/>
  <c r="P113" i="5" s="1"/>
  <c r="O114" i="5"/>
  <c r="P114" i="5" s="1"/>
  <c r="O115" i="5"/>
  <c r="P115" i="5" s="1"/>
  <c r="O116" i="5"/>
  <c r="P116" i="5" s="1"/>
  <c r="O117" i="5"/>
  <c r="P117" i="5" s="1"/>
  <c r="O118" i="5"/>
  <c r="P118" i="5" s="1"/>
  <c r="O119" i="5"/>
  <c r="P119" i="5" s="1"/>
  <c r="O120" i="5"/>
  <c r="P120" i="5" s="1"/>
  <c r="O121" i="5"/>
  <c r="P121" i="5" s="1"/>
  <c r="O122" i="5"/>
  <c r="P122" i="5" s="1"/>
  <c r="O123" i="5"/>
  <c r="P123" i="5" s="1"/>
  <c r="O124" i="5"/>
  <c r="P124" i="5" s="1"/>
  <c r="O125" i="5"/>
  <c r="P125" i="5" s="1"/>
  <c r="O126" i="5"/>
  <c r="P126" i="5" s="1"/>
  <c r="O127" i="5"/>
  <c r="P127" i="5" s="1"/>
  <c r="O128" i="5"/>
  <c r="P128" i="5" s="1"/>
  <c r="O129" i="5"/>
  <c r="P129" i="5" s="1"/>
  <c r="O130" i="5"/>
  <c r="P130" i="5" s="1"/>
  <c r="O131" i="5"/>
  <c r="P131" i="5" s="1"/>
  <c r="O132" i="5"/>
  <c r="P132" i="5" s="1"/>
  <c r="O133" i="5"/>
  <c r="P133" i="5" s="1"/>
  <c r="O134" i="5"/>
  <c r="P134" i="5" s="1"/>
  <c r="O135" i="5"/>
  <c r="P135" i="5" s="1"/>
  <c r="O136" i="5"/>
  <c r="P136" i="5" s="1"/>
  <c r="O137" i="5"/>
  <c r="P137" i="5" s="1"/>
  <c r="O138" i="5"/>
  <c r="P138" i="5" s="1"/>
  <c r="O139" i="5"/>
  <c r="P139" i="5" s="1"/>
  <c r="O140" i="5"/>
  <c r="P140" i="5" s="1"/>
  <c r="O141" i="5"/>
  <c r="P141" i="5" s="1"/>
  <c r="O142" i="5"/>
  <c r="P142" i="5" s="1"/>
  <c r="O143" i="5"/>
  <c r="P143" i="5" s="1"/>
  <c r="O144" i="5"/>
  <c r="P144" i="5" s="1"/>
  <c r="O145" i="5"/>
  <c r="P145" i="5" s="1"/>
  <c r="O146" i="5"/>
  <c r="P146" i="5" s="1"/>
  <c r="O147" i="5"/>
  <c r="P147" i="5" s="1"/>
  <c r="O148" i="5"/>
  <c r="P148" i="5" s="1"/>
  <c r="O149" i="5"/>
  <c r="P149" i="5" s="1"/>
  <c r="O150" i="5"/>
  <c r="P150" i="5" s="1"/>
  <c r="O151" i="5"/>
  <c r="P151" i="5" s="1"/>
  <c r="O152" i="5"/>
  <c r="P152" i="5" s="1"/>
  <c r="O153" i="5"/>
  <c r="P153" i="5" s="1"/>
  <c r="O154" i="5"/>
  <c r="P154" i="5" s="1"/>
  <c r="O155" i="5"/>
  <c r="P155" i="5" s="1"/>
  <c r="O156" i="5"/>
  <c r="P156" i="5" s="1"/>
  <c r="O157" i="5"/>
  <c r="P157" i="5" s="1"/>
  <c r="O158" i="5"/>
  <c r="P158" i="5" s="1"/>
  <c r="O159" i="5"/>
  <c r="P159" i="5" s="1"/>
  <c r="O160" i="5"/>
  <c r="P160" i="5" s="1"/>
  <c r="O161" i="5"/>
  <c r="P161" i="5" s="1"/>
  <c r="O162" i="5"/>
  <c r="P162" i="5" s="1"/>
  <c r="O163" i="5"/>
  <c r="P163" i="5" s="1"/>
  <c r="O164" i="5"/>
  <c r="P164" i="5" s="1"/>
  <c r="O165" i="5"/>
  <c r="P165" i="5" s="1"/>
  <c r="O166" i="5"/>
  <c r="P166" i="5" s="1"/>
  <c r="O167" i="5"/>
  <c r="P167" i="5" s="1"/>
  <c r="O168" i="5"/>
  <c r="P168" i="5" s="1"/>
  <c r="O169" i="5"/>
  <c r="P169" i="5" s="1"/>
  <c r="O170" i="5"/>
  <c r="P170" i="5" s="1"/>
  <c r="O171" i="5"/>
  <c r="P171" i="5" s="1"/>
  <c r="O172" i="5"/>
  <c r="P172" i="5" s="1"/>
  <c r="O173" i="5"/>
  <c r="P173" i="5" s="1"/>
  <c r="O174" i="5"/>
  <c r="P174" i="5" s="1"/>
  <c r="O175" i="5"/>
  <c r="P175" i="5" s="1"/>
  <c r="O2" i="5"/>
  <c r="P2" i="5" s="1"/>
  <c r="N3" i="5" l="1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2" i="5"/>
  <c r="L170" i="1" l="1"/>
  <c r="L123" i="1"/>
  <c r="L57" i="1"/>
  <c r="L702" i="1"/>
  <c r="L700" i="1"/>
  <c r="L688" i="1"/>
  <c r="L699" i="1"/>
  <c r="L682" i="1"/>
  <c r="L703" i="1"/>
  <c r="L707" i="1"/>
  <c r="L708" i="1"/>
  <c r="L681" i="1"/>
  <c r="L683" i="1"/>
  <c r="L701" i="1"/>
  <c r="L692" i="1"/>
  <c r="L705" i="1"/>
  <c r="L686" i="1"/>
  <c r="L709" i="1"/>
  <c r="L226" i="1"/>
  <c r="L112" i="1"/>
  <c r="L124" i="1"/>
  <c r="L141" i="1"/>
  <c r="L172" i="1"/>
  <c r="L142" i="1"/>
  <c r="L62" i="1"/>
  <c r="L68" i="1"/>
  <c r="L126" i="1"/>
  <c r="L238" i="1"/>
  <c r="L95" i="1"/>
  <c r="L69" i="1"/>
  <c r="L104" i="1"/>
  <c r="L55" i="1"/>
  <c r="L242" i="1"/>
  <c r="L117" i="1"/>
  <c r="L173" i="1"/>
  <c r="L18" i="1"/>
  <c r="L212" i="1"/>
  <c r="L50" i="1"/>
  <c r="L199" i="1"/>
  <c r="L19" i="1"/>
  <c r="L243" i="1"/>
  <c r="L191" i="1"/>
  <c r="L237" i="1"/>
  <c r="L710" i="1"/>
  <c r="L687" i="1"/>
  <c r="L190" i="1"/>
  <c r="L193" i="1"/>
  <c r="L150" i="1"/>
  <c r="L214" i="1"/>
  <c r="L98" i="1"/>
  <c r="L5" i="1"/>
  <c r="L103" i="1"/>
  <c r="L149" i="1"/>
  <c r="L24" i="1"/>
  <c r="L143" i="1"/>
  <c r="L97" i="1"/>
  <c r="L71" i="1"/>
  <c r="L60" i="1"/>
  <c r="L163" i="1"/>
  <c r="L244" i="1"/>
  <c r="L245" i="1"/>
  <c r="L116" i="1"/>
  <c r="L246" i="1"/>
  <c r="L217" i="1"/>
  <c r="L164" i="1"/>
  <c r="L99" i="1"/>
  <c r="L166" i="1"/>
  <c r="L698" i="1"/>
  <c r="L704" i="1"/>
  <c r="L101" i="1"/>
  <c r="L125" i="1"/>
  <c r="L88" i="1"/>
  <c r="L171" i="1"/>
  <c r="L194" i="1"/>
  <c r="L216" i="1"/>
  <c r="L15" i="1"/>
  <c r="L247" i="1"/>
  <c r="L49" i="1"/>
  <c r="L65" i="1"/>
  <c r="L52" i="1"/>
  <c r="L115" i="1"/>
  <c r="L174" i="1"/>
  <c r="L4" i="1"/>
  <c r="L51" i="1"/>
  <c r="L139" i="1"/>
  <c r="L235" i="1"/>
  <c r="L176" i="1"/>
  <c r="L74" i="1"/>
  <c r="L3" i="1"/>
  <c r="L113" i="1"/>
  <c r="L29" i="1"/>
  <c r="L224" i="1"/>
  <c r="L42" i="1"/>
  <c r="L220" i="1"/>
  <c r="L59" i="1"/>
  <c r="L83" i="1"/>
  <c r="L248" i="1"/>
  <c r="L725" i="1"/>
  <c r="L728" i="1"/>
  <c r="L729" i="1"/>
  <c r="L732" i="1"/>
  <c r="L731" i="1"/>
  <c r="L733" i="1"/>
  <c r="L734" i="1"/>
  <c r="L730" i="1"/>
  <c r="L735" i="1"/>
  <c r="L726" i="1"/>
  <c r="L722" i="1"/>
  <c r="L721" i="1"/>
  <c r="L213" i="1"/>
  <c r="L249" i="1"/>
  <c r="L109" i="1"/>
  <c r="L691" i="1"/>
  <c r="L694" i="1"/>
  <c r="L250" i="1"/>
  <c r="L706" i="1"/>
  <c r="L690" i="1"/>
  <c r="L693" i="1"/>
  <c r="L58" i="1"/>
  <c r="L251" i="1"/>
  <c r="L252" i="1"/>
  <c r="L22" i="1"/>
  <c r="L38" i="1"/>
  <c r="L118" i="1"/>
  <c r="L47" i="1"/>
  <c r="L179" i="1"/>
  <c r="L9" i="1"/>
  <c r="L82" i="1"/>
  <c r="L78" i="1"/>
  <c r="L763" i="1"/>
  <c r="L86" i="1"/>
  <c r="L100" i="1"/>
  <c r="L30" i="1"/>
  <c r="L122" i="1"/>
  <c r="L48" i="1"/>
  <c r="L140" i="1"/>
  <c r="L66" i="1"/>
  <c r="L241" i="1"/>
  <c r="L723" i="1"/>
  <c r="L695" i="1"/>
  <c r="L232" i="1"/>
  <c r="L234" i="1"/>
  <c r="L195" i="1"/>
  <c r="L206" i="1"/>
  <c r="L13" i="1"/>
  <c r="L182" i="1"/>
  <c r="L26" i="1"/>
  <c r="L175" i="1"/>
  <c r="L90" i="1"/>
  <c r="L37" i="1"/>
  <c r="L92" i="1"/>
  <c r="L253" i="1"/>
  <c r="L132" i="1"/>
  <c r="L10" i="1"/>
  <c r="L254" i="1"/>
  <c r="L80" i="1"/>
  <c r="L7" i="1"/>
  <c r="L221" i="1"/>
  <c r="L93" i="1"/>
  <c r="L162" i="1"/>
  <c r="L128" i="1"/>
  <c r="L35" i="1"/>
  <c r="L255" i="1"/>
  <c r="L256" i="1"/>
  <c r="L230" i="1"/>
  <c r="L120" i="1"/>
  <c r="L146" i="1"/>
  <c r="L17" i="1"/>
  <c r="L222" i="1"/>
  <c r="L105" i="1"/>
  <c r="L200" i="1"/>
  <c r="L39" i="1"/>
  <c r="L46" i="1"/>
  <c r="L64" i="1"/>
  <c r="L31" i="1"/>
  <c r="L43" i="1"/>
  <c r="L87" i="1"/>
  <c r="L32" i="1"/>
  <c r="L73" i="1"/>
  <c r="L257" i="1"/>
  <c r="L11" i="1"/>
  <c r="L8" i="1"/>
  <c r="L121" i="1"/>
  <c r="L239" i="1"/>
  <c r="L108" i="1"/>
  <c r="L72" i="1"/>
  <c r="L127" i="1"/>
  <c r="L718" i="1"/>
  <c r="L720" i="1"/>
  <c r="L719" i="1"/>
  <c r="L711" i="1"/>
  <c r="L713" i="1"/>
  <c r="L712" i="1"/>
  <c r="L715" i="1"/>
  <c r="L717" i="1"/>
  <c r="L724" i="1"/>
  <c r="L714" i="1"/>
  <c r="L716" i="1"/>
  <c r="L145" i="1"/>
  <c r="L177" i="1"/>
  <c r="L207" i="1"/>
  <c r="L178" i="1"/>
  <c r="L240" i="1"/>
  <c r="L155" i="1"/>
  <c r="L134" i="1"/>
  <c r="L258" i="1"/>
  <c r="L192" i="1"/>
  <c r="L259" i="1"/>
  <c r="L12" i="1"/>
  <c r="L84" i="1"/>
  <c r="L161" i="1"/>
  <c r="L165" i="1"/>
  <c r="L61" i="1"/>
  <c r="L36" i="1"/>
  <c r="L260" i="1"/>
  <c r="L261" i="1"/>
  <c r="L262" i="1"/>
  <c r="L219" i="1"/>
  <c r="L233" i="1"/>
  <c r="L33" i="1"/>
  <c r="L198" i="1"/>
  <c r="L263" i="1"/>
  <c r="L169" i="1"/>
  <c r="L189" i="1"/>
  <c r="L34" i="1"/>
  <c r="L153" i="1"/>
  <c r="L211" i="1"/>
  <c r="L228" i="1"/>
  <c r="L264" i="1"/>
  <c r="L265" i="1"/>
  <c r="L266" i="1"/>
  <c r="L267" i="1"/>
  <c r="L268" i="1"/>
  <c r="L25" i="1"/>
  <c r="L6" i="1"/>
  <c r="L269" i="1"/>
  <c r="L75" i="1"/>
  <c r="L137" i="1"/>
  <c r="L94" i="1"/>
  <c r="L14" i="1"/>
  <c r="L154" i="1"/>
  <c r="L270" i="1"/>
  <c r="L63" i="1"/>
  <c r="L271" i="1"/>
  <c r="L231" i="1"/>
  <c r="L203" i="1"/>
  <c r="L180" i="1"/>
  <c r="L223" i="1"/>
  <c r="L106" i="1"/>
  <c r="L151" i="1"/>
  <c r="L79" i="1"/>
  <c r="L81" i="1"/>
  <c r="L159" i="1"/>
  <c r="L272" i="1"/>
  <c r="L156" i="1"/>
  <c r="L168" i="1"/>
  <c r="L144" i="1"/>
  <c r="L273" i="1"/>
  <c r="L102" i="1"/>
  <c r="L274" i="1"/>
  <c r="L184" i="1"/>
  <c r="L67" i="1"/>
  <c r="L16" i="1"/>
  <c r="L275" i="1"/>
  <c r="L119" i="1"/>
  <c r="L210" i="1"/>
  <c r="L276" i="1"/>
  <c r="L218" i="1"/>
  <c r="L227" i="1"/>
  <c r="L130" i="1"/>
  <c r="L277" i="1"/>
  <c r="L157" i="1"/>
  <c r="L111" i="1"/>
  <c r="L209" i="1"/>
  <c r="L225" i="1"/>
  <c r="L197" i="1"/>
  <c r="L2" i="1"/>
  <c r="L618" i="1"/>
  <c r="L418" i="1"/>
  <c r="L381" i="1"/>
  <c r="L299" i="1"/>
  <c r="L619" i="1"/>
  <c r="L307" i="1"/>
  <c r="L500" i="1"/>
  <c r="L440" i="1"/>
  <c r="L620" i="1"/>
  <c r="L421" i="1"/>
  <c r="L573" i="1"/>
  <c r="L621" i="1"/>
  <c r="L487" i="1"/>
  <c r="L454" i="1"/>
  <c r="L533" i="1"/>
  <c r="L529" i="1"/>
  <c r="L485" i="1"/>
  <c r="L610" i="1"/>
  <c r="L611" i="1"/>
  <c r="L369" i="1"/>
  <c r="L622" i="1"/>
  <c r="L598" i="1"/>
  <c r="L623" i="1"/>
  <c r="L523" i="1"/>
  <c r="L365" i="1"/>
  <c r="L348" i="1"/>
  <c r="L436" i="1"/>
  <c r="L624" i="1"/>
  <c r="L438" i="1"/>
  <c r="L537" i="1"/>
  <c r="L314" i="1"/>
  <c r="L562" i="1"/>
  <c r="L336" i="1"/>
  <c r="L362" i="1"/>
  <c r="L353" i="1"/>
  <c r="L539" i="1"/>
  <c r="L451" i="1"/>
  <c r="L486" i="1"/>
  <c r="L447" i="1"/>
  <c r="L390" i="1"/>
  <c r="L366" i="1"/>
  <c r="L415" i="1"/>
  <c r="L584" i="1"/>
  <c r="L326" i="1"/>
  <c r="L625" i="1"/>
  <c r="L395" i="1"/>
  <c r="L319" i="1"/>
  <c r="L552" i="1"/>
  <c r="L591" i="1"/>
  <c r="L525" i="1"/>
  <c r="L468" i="1"/>
  <c r="L478" i="1"/>
  <c r="L378" i="1"/>
  <c r="L489" i="1"/>
  <c r="L576" i="1"/>
  <c r="L382" i="1"/>
  <c r="L321" i="1"/>
  <c r="L626" i="1"/>
  <c r="L627" i="1"/>
  <c r="L628" i="1"/>
  <c r="L599" i="1"/>
  <c r="L629" i="1"/>
  <c r="L608" i="1"/>
  <c r="L559" i="1"/>
  <c r="L609" i="1"/>
  <c r="L459" i="1"/>
  <c r="L461" i="1"/>
  <c r="L630" i="1"/>
  <c r="L450" i="1"/>
  <c r="L521" i="1"/>
  <c r="L423" i="1"/>
  <c r="L297" i="1"/>
  <c r="L631" i="1"/>
  <c r="L449" i="1"/>
  <c r="L384" i="1"/>
  <c r="L386" i="1"/>
  <c r="L586" i="1"/>
  <c r="L351" i="1"/>
  <c r="L594" i="1"/>
  <c r="L370" i="1"/>
  <c r="L558" i="1"/>
  <c r="L376" i="1"/>
  <c r="L530" i="1"/>
  <c r="L513" i="1"/>
  <c r="L632" i="1"/>
  <c r="L499" i="1"/>
  <c r="L577" i="1"/>
  <c r="L482" i="1"/>
  <c r="L564" i="1"/>
  <c r="L526" i="1"/>
  <c r="L309" i="1"/>
  <c r="L406" i="1"/>
  <c r="L549" i="1"/>
  <c r="L514" i="1"/>
  <c r="L535" i="1"/>
  <c r="L536" i="1"/>
  <c r="L633" i="1"/>
  <c r="L547" i="1"/>
  <c r="L479" i="1"/>
  <c r="L592" i="1"/>
  <c r="L387" i="1"/>
  <c r="L587" i="1"/>
  <c r="L634" i="1"/>
  <c r="L540" i="1"/>
  <c r="L456" i="1"/>
  <c r="L383" i="1"/>
  <c r="L546" i="1"/>
  <c r="L635" i="1"/>
  <c r="L426" i="1"/>
  <c r="L527" i="1"/>
  <c r="L296" i="1"/>
  <c r="L636" i="1"/>
  <c r="L637" i="1"/>
  <c r="L425" i="1"/>
  <c r="L300" i="1"/>
  <c r="L320" i="1"/>
  <c r="L638" i="1"/>
  <c r="L563" i="1"/>
  <c r="L330" i="1"/>
  <c r="L544" i="1"/>
  <c r="L496" i="1"/>
  <c r="L583" i="1"/>
  <c r="L338" i="1"/>
  <c r="L589" i="1"/>
  <c r="L532" i="1"/>
  <c r="L411" i="1"/>
  <c r="L364" i="1"/>
  <c r="L481" i="1"/>
  <c r="L505" i="1"/>
  <c r="L604" i="1"/>
  <c r="L639" i="1"/>
  <c r="L385" i="1"/>
  <c r="L640" i="1"/>
  <c r="L448" i="1"/>
  <c r="L602" i="1"/>
  <c r="L565" i="1"/>
  <c r="L568" i="1"/>
  <c r="L538" i="1"/>
  <c r="L518" i="1"/>
  <c r="L595" i="1"/>
  <c r="L553" i="1"/>
  <c r="L413" i="1"/>
  <c r="L497" i="1"/>
  <c r="L641" i="1"/>
  <c r="L569" i="1"/>
  <c r="L397" i="1"/>
  <c r="L606" i="1"/>
  <c r="L534" i="1"/>
  <c r="L501" i="1"/>
  <c r="L510" i="1"/>
  <c r="L572" i="1"/>
  <c r="L612" i="1"/>
  <c r="L607" i="1"/>
  <c r="L642" i="1"/>
  <c r="L334" i="1"/>
  <c r="L556" i="1"/>
  <c r="L511" i="1"/>
  <c r="L356" i="1"/>
  <c r="L312" i="1"/>
  <c r="L600" i="1"/>
  <c r="L605" i="1"/>
  <c r="L446" i="1"/>
  <c r="L601" i="1"/>
  <c r="L616" i="1"/>
  <c r="L617" i="1"/>
  <c r="L342" i="1"/>
  <c r="L643" i="1"/>
  <c r="L401" i="1"/>
  <c r="L644" i="1"/>
  <c r="L531" i="1"/>
  <c r="L318" i="1"/>
  <c r="L345" i="1"/>
  <c r="L645" i="1"/>
  <c r="L331" i="1"/>
  <c r="L409" i="1"/>
  <c r="L310" i="1"/>
  <c r="L646" i="1"/>
  <c r="L337" i="1"/>
  <c r="L399" i="1"/>
  <c r="L333" i="1"/>
  <c r="L504" i="1"/>
  <c r="L548" i="1"/>
  <c r="L465" i="1"/>
  <c r="L464" i="1"/>
  <c r="L392" i="1"/>
  <c r="L567" i="1"/>
  <c r="L339" i="1"/>
  <c r="L560" i="1"/>
  <c r="L647" i="1"/>
  <c r="L648" i="1"/>
  <c r="L649" i="1"/>
  <c r="L416" i="1"/>
  <c r="L427" i="1"/>
  <c r="L458" i="1"/>
  <c r="L476" i="1"/>
  <c r="L474" i="1"/>
  <c r="L429" i="1"/>
  <c r="L435" i="1"/>
  <c r="L323" i="1"/>
  <c r="L414" i="1"/>
  <c r="L650" i="1"/>
  <c r="L347" i="1"/>
  <c r="L512" i="1"/>
  <c r="L410" i="1"/>
  <c r="L442" i="1"/>
  <c r="L403" i="1"/>
  <c r="L590" i="1"/>
  <c r="L444" i="1"/>
  <c r="L428" i="1"/>
  <c r="L506" i="1"/>
  <c r="L304" i="1"/>
  <c r="L288" i="1"/>
  <c r="L517" i="1"/>
  <c r="L361" i="1"/>
  <c r="L651" i="1"/>
  <c r="L457" i="1"/>
  <c r="L344" i="1"/>
  <c r="L328" i="1"/>
  <c r="L652" i="1"/>
  <c r="L394" i="1"/>
  <c r="L329" i="1"/>
  <c r="L417" i="1"/>
  <c r="L471" i="1"/>
  <c r="L306" i="1"/>
  <c r="L653" i="1"/>
  <c r="L654" i="1"/>
  <c r="L298" i="1"/>
  <c r="L372" i="1"/>
  <c r="L655" i="1"/>
  <c r="L575" i="1"/>
  <c r="L434" i="1"/>
  <c r="L460" i="1"/>
  <c r="L656" i="1"/>
  <c r="L443" i="1"/>
  <c r="L657" i="1"/>
  <c r="L509" i="1"/>
  <c r="L658" i="1"/>
  <c r="L374" i="1"/>
  <c r="L659" i="1"/>
  <c r="L660" i="1"/>
  <c r="L388" i="1"/>
  <c r="L294" i="1"/>
  <c r="L433" i="1"/>
  <c r="L363" i="1"/>
  <c r="L661" i="1"/>
  <c r="L516" i="1"/>
  <c r="L662" i="1"/>
  <c r="L663" i="1"/>
  <c r="L550" i="1"/>
  <c r="L352" i="1"/>
  <c r="L404" i="1"/>
  <c r="L519" i="1"/>
  <c r="L557" i="1"/>
  <c r="L289" i="1"/>
  <c r="L391" i="1"/>
  <c r="L664" i="1"/>
  <c r="L308" i="1"/>
  <c r="L355" i="1"/>
  <c r="L293" i="1"/>
  <c r="L467" i="1"/>
  <c r="L665" i="1"/>
  <c r="L317" i="1"/>
  <c r="L528" i="1"/>
  <c r="L407" i="1"/>
  <c r="L543" i="1"/>
  <c r="L491" i="1"/>
  <c r="L462" i="1"/>
  <c r="L379" i="1"/>
  <c r="L290" i="1"/>
  <c r="L666" i="1"/>
  <c r="L305" i="1"/>
  <c r="L566" i="1"/>
  <c r="L490" i="1"/>
  <c r="L581" i="1"/>
  <c r="L303" i="1"/>
  <c r="L667" i="1"/>
  <c r="L357" i="1"/>
  <c r="L373" i="1"/>
  <c r="L419" i="1"/>
  <c r="L349" i="1"/>
  <c r="L494" i="1"/>
  <c r="L445" i="1"/>
  <c r="L420" i="1"/>
  <c r="L422" i="1"/>
  <c r="L302" i="1"/>
  <c r="L335" i="1"/>
  <c r="L453" i="1"/>
  <c r="L343" i="1"/>
  <c r="L313" i="1"/>
  <c r="L346" i="1"/>
  <c r="L393" i="1"/>
  <c r="L588" i="1"/>
  <c r="L593" i="1"/>
  <c r="L582" i="1"/>
  <c r="L571" i="1"/>
  <c r="L508" i="1"/>
  <c r="L578" i="1"/>
  <c r="L325" i="1"/>
  <c r="L359" i="1"/>
  <c r="L515" i="1"/>
  <c r="L498" i="1"/>
  <c r="L473" i="1"/>
  <c r="L597" i="1"/>
  <c r="L561" i="1"/>
  <c r="L551" i="1"/>
  <c r="L327" i="1"/>
  <c r="L324" i="1"/>
  <c r="L466" i="1"/>
  <c r="L585" i="1"/>
  <c r="L574" i="1"/>
  <c r="L570" i="1"/>
  <c r="L472" i="1"/>
  <c r="L475" i="1"/>
  <c r="L480" i="1"/>
  <c r="L400" i="1"/>
  <c r="L452" i="1"/>
  <c r="L408" i="1"/>
  <c r="L377" i="1"/>
  <c r="L520" i="1"/>
  <c r="L477" i="1"/>
  <c r="L615" i="1"/>
  <c r="L613" i="1"/>
  <c r="L358" i="1"/>
  <c r="L668" i="1"/>
  <c r="L380" i="1"/>
  <c r="L315" i="1"/>
  <c r="L441" i="1"/>
  <c r="L669" i="1"/>
  <c r="L311" i="1"/>
  <c r="L341" i="1"/>
  <c r="L295" i="1"/>
  <c r="L430" i="1"/>
  <c r="L470" i="1"/>
  <c r="L432" i="1"/>
  <c r="L495" i="1"/>
  <c r="L367" i="1"/>
  <c r="L555" i="1"/>
  <c r="L484" i="1"/>
  <c r="L596" i="1"/>
  <c r="L522" i="1"/>
  <c r="L670" i="1"/>
  <c r="L671" i="1"/>
  <c r="L545" i="1"/>
  <c r="L437" i="1"/>
  <c r="L579" i="1"/>
  <c r="L439" i="1"/>
  <c r="L332" i="1"/>
  <c r="L672" i="1"/>
  <c r="L291" i="1"/>
  <c r="L354" i="1"/>
  <c r="L292" i="1"/>
  <c r="L398" i="1"/>
  <c r="L614" i="1"/>
  <c r="L603" i="1"/>
  <c r="L488" i="1"/>
  <c r="L463" i="1"/>
  <c r="L322" i="1"/>
  <c r="L503" i="1"/>
  <c r="L554" i="1"/>
  <c r="L483" i="1"/>
  <c r="L402" i="1"/>
  <c r="L673" i="1"/>
  <c r="L674" i="1"/>
  <c r="L316" i="1"/>
  <c r="L301" i="1"/>
  <c r="L675" i="1"/>
  <c r="L368" i="1"/>
  <c r="L676" i="1"/>
  <c r="L412" i="1"/>
  <c r="L493" i="1"/>
  <c r="L340" i="1"/>
  <c r="L360" i="1"/>
  <c r="L350" i="1"/>
  <c r="L541" i="1"/>
  <c r="L455" i="1"/>
  <c r="L677" i="1"/>
  <c r="L678" i="1"/>
  <c r="L375" i="1"/>
  <c r="L424" i="1"/>
  <c r="L580" i="1"/>
  <c r="L469" i="1"/>
  <c r="L371" i="1"/>
  <c r="L502" i="1"/>
  <c r="L405" i="1"/>
  <c r="L396" i="1"/>
  <c r="L507" i="1"/>
  <c r="L492" i="1"/>
  <c r="L389" i="1"/>
  <c r="L431" i="1"/>
  <c r="L679" i="1"/>
  <c r="L680" i="1"/>
  <c r="L542" i="1"/>
  <c r="L524" i="1"/>
  <c r="L147" i="1"/>
  <c r="L183" i="1"/>
  <c r="L181" i="1"/>
  <c r="L278" i="1"/>
  <c r="L41" i="1"/>
  <c r="L279" i="1"/>
  <c r="L54" i="1"/>
  <c r="L187" i="1"/>
  <c r="L44" i="1"/>
  <c r="L76" i="1"/>
  <c r="L196" i="1"/>
  <c r="L21" i="1"/>
  <c r="L23" i="1"/>
  <c r="L110" i="1"/>
  <c r="L148" i="1"/>
  <c r="L152" i="1"/>
  <c r="L280" i="1"/>
  <c r="L28" i="1"/>
  <c r="L20" i="1"/>
  <c r="L158" i="1"/>
  <c r="L91" i="1"/>
  <c r="L208" i="1"/>
  <c r="L40" i="1"/>
  <c r="L281" i="1"/>
  <c r="L201" i="1"/>
  <c r="L696" i="1"/>
  <c r="L684" i="1"/>
  <c r="L204" i="1"/>
  <c r="L236" i="1"/>
  <c r="L186" i="1"/>
  <c r="L282" i="1"/>
  <c r="L135" i="1"/>
  <c r="L70" i="1"/>
  <c r="L77" i="1"/>
  <c r="L96" i="1"/>
  <c r="L202" i="1"/>
  <c r="L229" i="1"/>
  <c r="L283" i="1"/>
  <c r="L136" i="1"/>
  <c r="L188" i="1"/>
  <c r="L689" i="1"/>
  <c r="L727" i="1"/>
  <c r="L85" i="1"/>
  <c r="L53" i="1"/>
  <c r="L167" i="1"/>
  <c r="L27" i="1"/>
  <c r="L107" i="1"/>
  <c r="L129" i="1"/>
  <c r="L284" i="1"/>
  <c r="L56" i="1"/>
  <c r="L45" i="1"/>
  <c r="L133" i="1"/>
  <c r="L114" i="1"/>
  <c r="L185" i="1"/>
  <c r="L285" i="1"/>
  <c r="L138" i="1"/>
  <c r="L131" i="1"/>
  <c r="L748" i="1"/>
  <c r="L752" i="1"/>
  <c r="L757" i="1"/>
  <c r="L750" i="1"/>
  <c r="L745" i="1"/>
  <c r="L749" i="1"/>
  <c r="L759" i="1"/>
  <c r="L743" i="1"/>
  <c r="L737" i="1"/>
  <c r="L760" i="1"/>
  <c r="L756" i="1"/>
  <c r="L739" i="1"/>
  <c r="L741" i="1"/>
  <c r="L754" i="1"/>
  <c r="L740" i="1"/>
  <c r="L761" i="1"/>
  <c r="L747" i="1"/>
  <c r="L755" i="1"/>
  <c r="L753" i="1"/>
  <c r="L738" i="1"/>
  <c r="L762" i="1"/>
  <c r="L758" i="1"/>
  <c r="L742" i="1"/>
  <c r="L746" i="1"/>
  <c r="L751" i="1"/>
  <c r="L744" i="1"/>
  <c r="L736" i="1"/>
  <c r="L160" i="1"/>
  <c r="L286" i="1"/>
  <c r="L287" i="1"/>
  <c r="L215" i="1"/>
  <c r="L685" i="1"/>
  <c r="L697" i="1"/>
  <c r="L766" i="1"/>
  <c r="L764" i="1"/>
  <c r="L765" i="1"/>
  <c r="L767" i="1"/>
  <c r="L205" i="1"/>
  <c r="L89" i="1"/>
</calcChain>
</file>

<file path=xl/sharedStrings.xml><?xml version="1.0" encoding="utf-8"?>
<sst xmlns="http://schemas.openxmlformats.org/spreadsheetml/2006/main" count="2556" uniqueCount="1760">
  <si>
    <t>Receptor Name</t>
  </si>
  <si>
    <t>Immunostaining Intensity</t>
  </si>
  <si>
    <t>Immunostaining Standard Deviation</t>
  </si>
  <si>
    <t>Mock RPKM RNAseq average</t>
  </si>
  <si>
    <t>Library RPKM RNAseq average</t>
  </si>
  <si>
    <t>Mock Normalized RNA seq RPKM</t>
  </si>
  <si>
    <t>GC Content</t>
  </si>
  <si>
    <t>Low GFP Enrichment</t>
  </si>
  <si>
    <t>High GFP Enrichment</t>
  </si>
  <si>
    <t>High GFP Enrichment STD</t>
  </si>
  <si>
    <t>Fishers Exact p-value (Low GFP Enrichment)</t>
  </si>
  <si>
    <t>LOG10 (RNAseq Counts)</t>
  </si>
  <si>
    <t>GPCR Class</t>
  </si>
  <si>
    <t>Protein Length</t>
  </si>
  <si>
    <t>mono_nReads</t>
  </si>
  <si>
    <t>length_nt</t>
  </si>
  <si>
    <t>RPKM</t>
  </si>
  <si>
    <t>mono_TPM</t>
  </si>
  <si>
    <t>gene_id</t>
  </si>
  <si>
    <t>diso_nReads</t>
  </si>
  <si>
    <t>diso_TPM</t>
  </si>
  <si>
    <t>disome_ratio</t>
  </si>
  <si>
    <t>rna_total_coverage</t>
  </si>
  <si>
    <t>TE</t>
  </si>
  <si>
    <t>gpcr_scores_all_umap_one</t>
  </si>
  <si>
    <t>gpcr_scores_all_umap_two</t>
  </si>
  <si>
    <t>rnaseq z score</t>
  </si>
  <si>
    <t>gfp  z score</t>
  </si>
  <si>
    <t>riboseq z score</t>
  </si>
  <si>
    <t>Outliers (not enough counts)</t>
  </si>
  <si>
    <t>OPRM1_ENST00000330432</t>
  </si>
  <si>
    <t>A</t>
  </si>
  <si>
    <t>OPRM1</t>
  </si>
  <si>
    <t>red = GFP Only</t>
  </si>
  <si>
    <t>F2RL3_ENST00000248076_SP_HA</t>
  </si>
  <si>
    <t>F2RL3</t>
  </si>
  <si>
    <t>blue = PME Only</t>
  </si>
  <si>
    <t>DRD5_ENST00000304374</t>
  </si>
  <si>
    <t>DRD5</t>
  </si>
  <si>
    <t>magenta = both</t>
  </si>
  <si>
    <t>CCR3_ENST00000395942</t>
  </si>
  <si>
    <t>CCR3</t>
  </si>
  <si>
    <t>MAS1L_ENST00000377127</t>
  </si>
  <si>
    <t>MAS1L</t>
  </si>
  <si>
    <t>GPR26_ENST00000284674</t>
  </si>
  <si>
    <t>GPR26</t>
  </si>
  <si>
    <t>GPR82_ENST00000302548</t>
  </si>
  <si>
    <t>GPR82</t>
  </si>
  <si>
    <t>GPR139_ENST00000570682</t>
  </si>
  <si>
    <t>GPR139</t>
  </si>
  <si>
    <t>GPR21_ENST00000616002</t>
  </si>
  <si>
    <t>GPR21</t>
  </si>
  <si>
    <t>GPR78_ENST00000382487</t>
  </si>
  <si>
    <t>GPR78</t>
  </si>
  <si>
    <t>HTR1A_ENST00000323865</t>
  </si>
  <si>
    <t>HTR1A</t>
  </si>
  <si>
    <t>inf</t>
  </si>
  <si>
    <t>GPR171_ENST00000617554</t>
  </si>
  <si>
    <t>GPR171</t>
  </si>
  <si>
    <t>MC5R_ENST00000324750</t>
  </si>
  <si>
    <t>MC5R</t>
  </si>
  <si>
    <t>CXCR6_ENST00000457814_UMI_BSMBI</t>
  </si>
  <si>
    <t>CXCR6</t>
  </si>
  <si>
    <t>NPY2R_ENST00000506608</t>
  </si>
  <si>
    <t>NPY2R</t>
  </si>
  <si>
    <t>GPR4_ENST00000323040</t>
  </si>
  <si>
    <t>GPR4</t>
  </si>
  <si>
    <t>AVPR1B_ENST00000367126</t>
  </si>
  <si>
    <t>AVPR1B</t>
  </si>
  <si>
    <t>BRS3_ENST00000370648</t>
  </si>
  <si>
    <t>BRS3</t>
  </si>
  <si>
    <t>PTGDR2_ENST00000332539</t>
  </si>
  <si>
    <t>PTGDR2</t>
  </si>
  <si>
    <t>P2RY6_ENST00000538328</t>
  </si>
  <si>
    <t>P2RY6</t>
  </si>
  <si>
    <t>GPR101_ENST00000651716</t>
  </si>
  <si>
    <t>GPR101</t>
  </si>
  <si>
    <t>P2RY8_ENST00000381297</t>
  </si>
  <si>
    <t>P2RY8</t>
  </si>
  <si>
    <t>CCR6_ENST00000349984</t>
  </si>
  <si>
    <t>CCR6</t>
  </si>
  <si>
    <t>MAS1_ENST00000252660</t>
  </si>
  <si>
    <t>MAS1</t>
  </si>
  <si>
    <t>GPR174_ENST00000645147</t>
  </si>
  <si>
    <t>GPR174</t>
  </si>
  <si>
    <t>SSTR4_ENST00000255008</t>
  </si>
  <si>
    <t>SSTR4</t>
  </si>
  <si>
    <t>PTGDR_ENST00000306051</t>
  </si>
  <si>
    <t>PTGDR</t>
  </si>
  <si>
    <t>FFAR2_ENST00000246549</t>
  </si>
  <si>
    <t>FFAR2</t>
  </si>
  <si>
    <t>GPR149_ENST00000389740</t>
  </si>
  <si>
    <t>GPR149</t>
  </si>
  <si>
    <t>GPR61_ENST00000616874</t>
  </si>
  <si>
    <t>GPR61</t>
  </si>
  <si>
    <t>GPR65_ENST00000267549</t>
  </si>
  <si>
    <t>GPR65</t>
  </si>
  <si>
    <t>HTR7_ENST00000336152</t>
  </si>
  <si>
    <t>HTR7</t>
  </si>
  <si>
    <t>LHCGR_ENST00000294954_SP_HA</t>
  </si>
  <si>
    <t>LHCGR</t>
  </si>
  <si>
    <t>GPR33_ENST00000399285</t>
  </si>
  <si>
    <t>GPR33</t>
  </si>
  <si>
    <t>HTR2A_ENST00000542664</t>
  </si>
  <si>
    <t>HTR2A</t>
  </si>
  <si>
    <t>GPR182_ENST00000300098</t>
  </si>
  <si>
    <t>GPR182</t>
  </si>
  <si>
    <t>GPR119_ENST00000276218</t>
  </si>
  <si>
    <t>GPR119</t>
  </si>
  <si>
    <t>GPR52_ENST00000367685</t>
  </si>
  <si>
    <t>GPR52</t>
  </si>
  <si>
    <t>PTGER4_ENST00000302472</t>
  </si>
  <si>
    <t>PTGER4</t>
  </si>
  <si>
    <t>P2RY10_ENST00000544091</t>
  </si>
  <si>
    <t>P2RY10</t>
  </si>
  <si>
    <t>FFAR4_ENST00000371481</t>
  </si>
  <si>
    <t>FFAR4</t>
  </si>
  <si>
    <t>GPR62_ENST00000322241</t>
  </si>
  <si>
    <t>GPR62</t>
  </si>
  <si>
    <t>P2RY14_ENST00000424796</t>
  </si>
  <si>
    <t>P2RY14</t>
  </si>
  <si>
    <t>TAAR5_ENST00000258034</t>
  </si>
  <si>
    <t>TAAR5</t>
  </si>
  <si>
    <t>GPR55_ENST00000392040</t>
  </si>
  <si>
    <t>GPR55</t>
  </si>
  <si>
    <t>GPR132_ENST00000539291</t>
  </si>
  <si>
    <t>GPR132</t>
  </si>
  <si>
    <t>GPR150_ENST00000380007</t>
  </si>
  <si>
    <t>GPR150</t>
  </si>
  <si>
    <t>CYSLTR2_ENST00000682523</t>
  </si>
  <si>
    <t>CYSLTR2</t>
  </si>
  <si>
    <t>BDKRB1_ENST00000611804</t>
  </si>
  <si>
    <t>BDKRB1</t>
  </si>
  <si>
    <t>EDNRA_ENST00000324300_SP_HA</t>
  </si>
  <si>
    <t>EDNRA</t>
  </si>
  <si>
    <t>DRD2_ENST00000542968</t>
  </si>
  <si>
    <t>DRD2</t>
  </si>
  <si>
    <t>SSTR2_ENST00000357585</t>
  </si>
  <si>
    <t>SSTR2</t>
  </si>
  <si>
    <t>P2RY12_ENST00000302632</t>
  </si>
  <si>
    <t>P2RY12</t>
  </si>
  <si>
    <t>AGTR1_ENST00000402260</t>
  </si>
  <si>
    <t>AGTR1</t>
  </si>
  <si>
    <t>TAAR2_ENST00000367931</t>
  </si>
  <si>
    <t>TAAR2</t>
  </si>
  <si>
    <t>ACKR4_ENST00000249887</t>
  </si>
  <si>
    <t>ACKR4</t>
  </si>
  <si>
    <t>GNRHR_ENST00000226413</t>
  </si>
  <si>
    <t>GNRHR</t>
  </si>
  <si>
    <t>FPR2_ENST00000598776</t>
  </si>
  <si>
    <t>FPR2</t>
  </si>
  <si>
    <t>CCRL2_ENST00000400882</t>
  </si>
  <si>
    <t>CCRL2</t>
  </si>
  <si>
    <t>HTR1F_ENST00000319595</t>
  </si>
  <si>
    <t>HTR1F</t>
  </si>
  <si>
    <t>ADRA1D_ENST00000379453</t>
  </si>
  <si>
    <t>ADRA1D</t>
  </si>
  <si>
    <t>MLNR_ENST00000218721</t>
  </si>
  <si>
    <t>MLNR</t>
  </si>
  <si>
    <t>GPR6_ENST00000275169</t>
  </si>
  <si>
    <t>GPR6</t>
  </si>
  <si>
    <t>DRD1_ENST00000393752</t>
  </si>
  <si>
    <t>DRD1</t>
  </si>
  <si>
    <t>GPR152_ENST00000312457</t>
  </si>
  <si>
    <t>GPR152</t>
  </si>
  <si>
    <t>NPY1R_ENST00000296533</t>
  </si>
  <si>
    <t>NPY1R</t>
  </si>
  <si>
    <t>ADRA2A_ENST00000280155</t>
  </si>
  <si>
    <t>ADRA2A</t>
  </si>
  <si>
    <t>ADRB2_ENST00000305988</t>
  </si>
  <si>
    <t>ADRB2</t>
  </si>
  <si>
    <t>RXFP2_ENST00000298386_SP_HA</t>
  </si>
  <si>
    <t>RXFP2</t>
  </si>
  <si>
    <t>CCR9_ENST00000357632</t>
  </si>
  <si>
    <t>CCR9</t>
  </si>
  <si>
    <t>GPR87_ENST00000260843</t>
  </si>
  <si>
    <t>GPR87</t>
  </si>
  <si>
    <t>GPR68_ENST00000535815</t>
  </si>
  <si>
    <t>GPR68</t>
  </si>
  <si>
    <t>F2RL2_ENST00000296641_SP_HA</t>
  </si>
  <si>
    <t>F2RL2</t>
  </si>
  <si>
    <t>MC2R_ENST00000327606</t>
  </si>
  <si>
    <t>MC2R</t>
  </si>
  <si>
    <t>P2RY2_ENST00000393596</t>
  </si>
  <si>
    <t>P2RY2</t>
  </si>
  <si>
    <t>RXFP3_ENST00000330120</t>
  </si>
  <si>
    <t>RXFP3</t>
  </si>
  <si>
    <t>GPR142_ENST00000335666</t>
  </si>
  <si>
    <t>GPR142</t>
  </si>
  <si>
    <t>MRGPRX4_ENST00000314254</t>
  </si>
  <si>
    <t>MRGPRX4</t>
  </si>
  <si>
    <t>GPR25_ENST00000304244</t>
  </si>
  <si>
    <t>GPR25</t>
  </si>
  <si>
    <t>MTNR1A_ENST00000307161</t>
  </si>
  <si>
    <t>MTNR1A</t>
  </si>
  <si>
    <t>GPR141_ENST00000447769</t>
  </si>
  <si>
    <t>GPR141</t>
  </si>
  <si>
    <t>FPR3_ENST00000595991</t>
  </si>
  <si>
    <t>FPR3</t>
  </si>
  <si>
    <t>HTR1B_ENST00000369947</t>
  </si>
  <si>
    <t>HTR1B</t>
  </si>
  <si>
    <t>SSTR1_ENST00000267377</t>
  </si>
  <si>
    <t>SSTR1</t>
  </si>
  <si>
    <t>GPR146_ENST00000397095</t>
  </si>
  <si>
    <t>GPR146</t>
  </si>
  <si>
    <t>GPR63_ENST00000229955</t>
  </si>
  <si>
    <t>GPR63</t>
  </si>
  <si>
    <t>CXCR2_ENST00000318507</t>
  </si>
  <si>
    <t>CXCR2</t>
  </si>
  <si>
    <t>ACKR1_ENST00000368122</t>
  </si>
  <si>
    <t>ACKR1</t>
  </si>
  <si>
    <t>GPR18_ENST00000416594</t>
  </si>
  <si>
    <t>PTGER2_ENST00000245457</t>
  </si>
  <si>
    <t>PTGER2</t>
  </si>
  <si>
    <t>GPR183_ENST00000376414</t>
  </si>
  <si>
    <t>GPR183</t>
  </si>
  <si>
    <t>GPR3_ENST00000374024</t>
  </si>
  <si>
    <t>GPR3</t>
  </si>
  <si>
    <t>MC4R_ENST00000299766</t>
  </si>
  <si>
    <t>MC4R</t>
  </si>
  <si>
    <t>ADRB1_ENST00000369295</t>
  </si>
  <si>
    <t>ADRB1</t>
  </si>
  <si>
    <t>RXFP4_ENST00000368318</t>
  </si>
  <si>
    <t>RXFP4</t>
  </si>
  <si>
    <t>CCR8_ENST00000326306</t>
  </si>
  <si>
    <t>CCR8</t>
  </si>
  <si>
    <t>CCR2_ENST00000400888</t>
  </si>
  <si>
    <t>CCR2</t>
  </si>
  <si>
    <t>CNR1_ENST00000551417</t>
  </si>
  <si>
    <t>CNR1</t>
  </si>
  <si>
    <t>GPR148_ENST00000309926</t>
  </si>
  <si>
    <t>GPR148</t>
  </si>
  <si>
    <t>CX3CR1_ENST00000399220</t>
  </si>
  <si>
    <t>CX3CR1</t>
  </si>
  <si>
    <t>NPFFR1_ENST00000277942</t>
  </si>
  <si>
    <t>NPFFR1</t>
  </si>
  <si>
    <t>CCR4_ENST00000330953</t>
  </si>
  <si>
    <t>CCR4</t>
  </si>
  <si>
    <t>ADRB3_ENST00000345060</t>
  </si>
  <si>
    <t>ADRB3</t>
  </si>
  <si>
    <t>GPR45_ENST00000258456</t>
  </si>
  <si>
    <t>GPR45</t>
  </si>
  <si>
    <t>MRGPRX2_ENST00000329773</t>
  </si>
  <si>
    <t>MRGPRX2</t>
  </si>
  <si>
    <t>SSTR5_ENST00000293897</t>
  </si>
  <si>
    <t>SSTR5</t>
  </si>
  <si>
    <t>GPR85_ENST00000449591</t>
  </si>
  <si>
    <t>GPR85</t>
  </si>
  <si>
    <t>GALR3_ENST00000249041</t>
  </si>
  <si>
    <t>GALR3</t>
  </si>
  <si>
    <t>PRLHR_ENST00000636925</t>
  </si>
  <si>
    <t>PRLHR</t>
  </si>
  <si>
    <t>OPN5_ENST00000371211</t>
  </si>
  <si>
    <t>OPN5</t>
  </si>
  <si>
    <t>ADORA2A_ENST00000618076</t>
  </si>
  <si>
    <t>ADORA2A</t>
  </si>
  <si>
    <t>FFAR1_ENST00000246553</t>
  </si>
  <si>
    <t>FFAR1</t>
  </si>
  <si>
    <t>TAAR8_ENST00000275200</t>
  </si>
  <si>
    <t>TAAR8</t>
  </si>
  <si>
    <t>DRD3_ENST00000467632</t>
  </si>
  <si>
    <t>DRD3</t>
  </si>
  <si>
    <t>CHRM4_ENST00000682254</t>
  </si>
  <si>
    <t>CHRM4</t>
  </si>
  <si>
    <t>APLNR_ENST00000606794</t>
  </si>
  <si>
    <t>APLNR</t>
  </si>
  <si>
    <t>GPR12_ENST00000381436</t>
  </si>
  <si>
    <t>GPR12</t>
  </si>
  <si>
    <t>NPY5R_ENST00000506953</t>
  </si>
  <si>
    <t>NPY5R</t>
  </si>
  <si>
    <t>GPR37L1_ENST00000367282_SP_HA</t>
  </si>
  <si>
    <t>GPR37L1</t>
  </si>
  <si>
    <t>GPR83_ENST00000243673_SP_HA</t>
  </si>
  <si>
    <t>GPR83</t>
  </si>
  <si>
    <t>GPR15_ENST00000284311</t>
  </si>
  <si>
    <t>GPR15</t>
  </si>
  <si>
    <t>ACKR3_ENST00000272928</t>
  </si>
  <si>
    <t>ACKR3</t>
  </si>
  <si>
    <t>ADORA2B_ENST00000304222</t>
  </si>
  <si>
    <t>ADORA2B</t>
  </si>
  <si>
    <t>CXCR1_ENST00000295683</t>
  </si>
  <si>
    <t>CXCR1</t>
  </si>
  <si>
    <t>ADRA2B_ENST00000620793</t>
  </si>
  <si>
    <t>ADRA2B</t>
  </si>
  <si>
    <t>GPR88_ENST00000315033</t>
  </si>
  <si>
    <t>GPR88</t>
  </si>
  <si>
    <t>GPR32_ENST00000270590</t>
  </si>
  <si>
    <t>GPR32</t>
  </si>
  <si>
    <t>SUCNR1_ENST00000362032</t>
  </si>
  <si>
    <t>SUCNR1</t>
  </si>
  <si>
    <t>OPN1SW_ENST00000249389</t>
  </si>
  <si>
    <t>OPN1SW</t>
  </si>
  <si>
    <t>TACR3_ENST00000304883</t>
  </si>
  <si>
    <t>TACR3</t>
  </si>
  <si>
    <t>GPR20_ENST00000377741</t>
  </si>
  <si>
    <t>GPR20</t>
  </si>
  <si>
    <t>TAAR6_ENST00000275198</t>
  </si>
  <si>
    <t>TAAR6</t>
  </si>
  <si>
    <t>HRH1_ENST00000397056</t>
  </si>
  <si>
    <t>HRH1</t>
  </si>
  <si>
    <t>RXFP1_ENST00000307765_SP_HA</t>
  </si>
  <si>
    <t>RXFP1</t>
  </si>
  <si>
    <t>S1PR4_ENST00000246115</t>
  </si>
  <si>
    <t>S1PR4</t>
  </si>
  <si>
    <t>MC3R_ENST00000243911</t>
  </si>
  <si>
    <t>MC3R</t>
  </si>
  <si>
    <t>TACR2_ENST00000373306</t>
  </si>
  <si>
    <t>TACR2</t>
  </si>
  <si>
    <t>EDNRB_ENST00000475537_SP_HA</t>
  </si>
  <si>
    <t>EDNRB</t>
  </si>
  <si>
    <t>GPR151_ENST00000311104</t>
  </si>
  <si>
    <t>GPR151</t>
  </si>
  <si>
    <t>ADORA3_ENST00000241356</t>
  </si>
  <si>
    <t>ADORA3</t>
  </si>
  <si>
    <t>ADRA1B_ENST00000306675</t>
  </si>
  <si>
    <t>ADRA1B</t>
  </si>
  <si>
    <t>CCR7_ENST00000246657_SP_HA</t>
  </si>
  <si>
    <t>CCR7</t>
  </si>
  <si>
    <t>NPBWR1_ENST00000674939</t>
  </si>
  <si>
    <t>NPBWR1</t>
  </si>
  <si>
    <t>GRPR_ENST00000380289</t>
  </si>
  <si>
    <t>GRPR</t>
  </si>
  <si>
    <t>GPR39_ENST00000329321</t>
  </si>
  <si>
    <t>GPR39</t>
  </si>
  <si>
    <t>OXER1_ENST00000378661</t>
  </si>
  <si>
    <t>OXER1</t>
  </si>
  <si>
    <t>PROKR1_ENST00000303786</t>
  </si>
  <si>
    <t>PROKR1</t>
  </si>
  <si>
    <t>CCR5_ENST00000445772</t>
  </si>
  <si>
    <t>CCR5</t>
  </si>
  <si>
    <t>CCR1_ENST00000296140</t>
  </si>
  <si>
    <t>CCR1</t>
  </si>
  <si>
    <t>MRGPRX3_ENST00000621697</t>
  </si>
  <si>
    <t>MRGPRX3</t>
  </si>
  <si>
    <t>PROKR2_ENST00000217270</t>
  </si>
  <si>
    <t>PROKR2</t>
  </si>
  <si>
    <t>LPAR1_ENST00000683809</t>
  </si>
  <si>
    <t>LPAR1</t>
  </si>
  <si>
    <t>MCHR1_ENST00000249016</t>
  </si>
  <si>
    <t>MCHR1</t>
  </si>
  <si>
    <t>HCRTR2_ENST00000615358</t>
  </si>
  <si>
    <t>HCRTR2</t>
  </si>
  <si>
    <t>NMUR1_ENST00000305141</t>
  </si>
  <si>
    <t>NMUR1</t>
  </si>
  <si>
    <t>OPN4_ENST00000241891</t>
  </si>
  <si>
    <t>OPN4</t>
  </si>
  <si>
    <t>PTGER1_ENST00000292513</t>
  </si>
  <si>
    <t>PTGER1</t>
  </si>
  <si>
    <t>MTNR1B_ENST00000257068</t>
  </si>
  <si>
    <t>MTNR1B</t>
  </si>
  <si>
    <t>TBXA2R_ENST00000375190</t>
  </si>
  <si>
    <t>TBXA2R</t>
  </si>
  <si>
    <t>HTR1D_ENST00000374619</t>
  </si>
  <si>
    <t>HTR1D</t>
  </si>
  <si>
    <t>GPR31_ENST00000366834</t>
  </si>
  <si>
    <t>GPR31</t>
  </si>
  <si>
    <t>CHRM1_ENST00000306960</t>
  </si>
  <si>
    <t>CHRM1</t>
  </si>
  <si>
    <t>CMKLR2_ENST00000437420</t>
  </si>
  <si>
    <t>CMKLR2</t>
  </si>
  <si>
    <t>HTR1E_ENST00000305344</t>
  </si>
  <si>
    <t>HTR1E</t>
  </si>
  <si>
    <t>CNR2_ENST00000374472</t>
  </si>
  <si>
    <t>CNR2</t>
  </si>
  <si>
    <t>SSTR3_ENST00000617123</t>
  </si>
  <si>
    <t>SSTR3</t>
  </si>
  <si>
    <t>NMUR2_ENST00000255262</t>
  </si>
  <si>
    <t>NMUR2</t>
  </si>
  <si>
    <t>LGR5_ENST00000266674_SP_HA</t>
  </si>
  <si>
    <t>LGR5</t>
  </si>
  <si>
    <t>ACKR2_ENST00000442925</t>
  </si>
  <si>
    <t>ACKR2</t>
  </si>
  <si>
    <t>CXCR3_ENST00000373693</t>
  </si>
  <si>
    <t>CXCR3</t>
  </si>
  <si>
    <t>ADRA1A_ENST00000380573</t>
  </si>
  <si>
    <t>ADRA1A</t>
  </si>
  <si>
    <t>AVPR1A_ENST00000299178</t>
  </si>
  <si>
    <t>AVPR1A</t>
  </si>
  <si>
    <t>DRD4_ENST00000176183</t>
  </si>
  <si>
    <t>DRD4</t>
  </si>
  <si>
    <t>GPR176_ENST00000561100</t>
  </si>
  <si>
    <t>GPR176</t>
  </si>
  <si>
    <t>F2RL1_ENST00000296677_SP_HA</t>
  </si>
  <si>
    <t>F2RL1</t>
  </si>
  <si>
    <t>HCAR1_ENST00000432564</t>
  </si>
  <si>
    <t>HCAR1</t>
  </si>
  <si>
    <t>HCAR3_ENST00000528880</t>
  </si>
  <si>
    <t>HCAR3</t>
  </si>
  <si>
    <t>GPR135_ENST00000395116</t>
  </si>
  <si>
    <t>GPR135</t>
  </si>
  <si>
    <t>MRGPRG_ENST00000332314</t>
  </si>
  <si>
    <t>MRGPRG</t>
  </si>
  <si>
    <t>OXTR_ENST00000316793</t>
  </si>
  <si>
    <t>OXTR</t>
  </si>
  <si>
    <t>GPR173_ENST00000332582</t>
  </si>
  <si>
    <t>GPR173</t>
  </si>
  <si>
    <t>OXGR1_ENST00000298440</t>
  </si>
  <si>
    <t>OXGR1</t>
  </si>
  <si>
    <t>NPSR1_ENST00000360581</t>
  </si>
  <si>
    <t>NPSR1</t>
  </si>
  <si>
    <t>TAAR9_ENST00000434551</t>
  </si>
  <si>
    <t>TAAR9</t>
  </si>
  <si>
    <t>RHO_ENST00000296271</t>
  </si>
  <si>
    <t>RHO</t>
  </si>
  <si>
    <t>P2RY13_ENST00000325602</t>
  </si>
  <si>
    <t>P2RY13</t>
  </si>
  <si>
    <t>S1PR5_ENST00000439028</t>
  </si>
  <si>
    <t>S1PR5</t>
  </si>
  <si>
    <t>LGR6_ENST00000367278_SP_HA</t>
  </si>
  <si>
    <t>LGR6</t>
  </si>
  <si>
    <t>CCKAR_ENST00000295589</t>
  </si>
  <si>
    <t>CCKAR</t>
  </si>
  <si>
    <t>C5AR1_ENST00000355085</t>
  </si>
  <si>
    <t>C5AR1</t>
  </si>
  <si>
    <t>HRH3_ENST00000340177</t>
  </si>
  <si>
    <t>HRH3</t>
  </si>
  <si>
    <t>CCKBR_ENST00000334619</t>
  </si>
  <si>
    <t>CCKBR</t>
  </si>
  <si>
    <t>CXCR4_ENST00000241393</t>
  </si>
  <si>
    <t>CXCR4</t>
  </si>
  <si>
    <t>GPR162_ENST00000311268</t>
  </si>
  <si>
    <t>GPR162</t>
  </si>
  <si>
    <t>P2RY4_ENST00000374519</t>
  </si>
  <si>
    <t>P2RY4</t>
  </si>
  <si>
    <t>OPRL1_ENST00000349451</t>
  </si>
  <si>
    <t>OPRL1</t>
  </si>
  <si>
    <t>KISS1R_ENST00000234371</t>
  </si>
  <si>
    <t>KISS1R</t>
  </si>
  <si>
    <t>BDKRB2_ENST00000554311</t>
  </si>
  <si>
    <t>BDKRB2</t>
  </si>
  <si>
    <t>GPR50_ENST00000218316</t>
  </si>
  <si>
    <t>GPR50</t>
  </si>
  <si>
    <t>PTGIR_ENST00000291294</t>
  </si>
  <si>
    <t>PTGIR</t>
  </si>
  <si>
    <t>S1PR1_ENST00000648480</t>
  </si>
  <si>
    <t>S1PR1</t>
  </si>
  <si>
    <t>MRGPRF_ENST00000309099</t>
  </si>
  <si>
    <t>MRGPRF</t>
  </si>
  <si>
    <t>QRFPR_ENST00000394427</t>
  </si>
  <si>
    <t>QRFPR</t>
  </si>
  <si>
    <t>XCR1_ENST00000395946</t>
  </si>
  <si>
    <t>GPR17_ENST00000393018</t>
  </si>
  <si>
    <t>GPR17</t>
  </si>
  <si>
    <t>HCAR2_ENST00000328880</t>
  </si>
  <si>
    <t>HCAR2</t>
  </si>
  <si>
    <t>PTGER3_ENST00000306666</t>
  </si>
  <si>
    <t>PTGER3</t>
  </si>
  <si>
    <t>OPRD1_ENST00000234961</t>
  </si>
  <si>
    <t>OPRD1</t>
  </si>
  <si>
    <t>NTSR1_ENST00000370501</t>
  </si>
  <si>
    <t>NTSR1</t>
  </si>
  <si>
    <t>LPAR2_ENST00000542587</t>
  </si>
  <si>
    <t>LPAR2</t>
  </si>
  <si>
    <t>AVPR2_ENST00000337474</t>
  </si>
  <si>
    <t>AVPR2</t>
  </si>
  <si>
    <t>GALR1_ENST00000299727</t>
  </si>
  <si>
    <t>GALR1</t>
  </si>
  <si>
    <t>CCR10_ENST00000332438</t>
  </si>
  <si>
    <t>CCR10</t>
  </si>
  <si>
    <t>UTS2R_ENST00000313135</t>
  </si>
  <si>
    <t>UTS2R</t>
  </si>
  <si>
    <t>CXCR5_ENST00000292174</t>
  </si>
  <si>
    <t>CXCR5</t>
  </si>
  <si>
    <t>CMKLR1_ENST00000412676</t>
  </si>
  <si>
    <t>CMKLR1</t>
  </si>
  <si>
    <t>OPN1LW_ENST00000369951</t>
  </si>
  <si>
    <t>OPN1LW</t>
  </si>
  <si>
    <t>HTR5A_ENST00000287907</t>
  </si>
  <si>
    <t>HTR5A</t>
  </si>
  <si>
    <t>FPR1_ENST00000594900</t>
  </si>
  <si>
    <t>FPR1</t>
  </si>
  <si>
    <t>GPR27_ENST00000304411</t>
  </si>
  <si>
    <t>GPR27</t>
  </si>
  <si>
    <t>GPR42_ENST00000597214</t>
  </si>
  <si>
    <t>GPR42</t>
  </si>
  <si>
    <t>MRGPRX1_ENST00000302797</t>
  </si>
  <si>
    <t>MRGPRX1</t>
  </si>
  <si>
    <t>FFAR3_ENST00000594310</t>
  </si>
  <si>
    <t>FFAR3</t>
  </si>
  <si>
    <t>OPRK1_ENST00000520287</t>
  </si>
  <si>
    <t>OPRK1</t>
  </si>
  <si>
    <t>ADORA1_ENST00000337894</t>
  </si>
  <si>
    <t>ADORA1</t>
  </si>
  <si>
    <t>OPN1MW3_ENST00000599405</t>
  </si>
  <si>
    <t>OPN1MW3</t>
  </si>
  <si>
    <t>LPAR3_ENST00000370611</t>
  </si>
  <si>
    <t>LPAR3</t>
  </si>
  <si>
    <t>S1PR2_ENST00000646641</t>
  </si>
  <si>
    <t>S1PR2</t>
  </si>
  <si>
    <t>GPR37_ENST00000303921_SP_HA</t>
  </si>
  <si>
    <t>GPR37</t>
  </si>
  <si>
    <t>MRGPRE_ENST00000389832</t>
  </si>
  <si>
    <t>MRGPRE</t>
  </si>
  <si>
    <t>GPR160_ENST00000355897</t>
  </si>
  <si>
    <t>GPR160</t>
  </si>
  <si>
    <t>HTR6_ENST00000289753</t>
  </si>
  <si>
    <t>HTR6</t>
  </si>
  <si>
    <t>GPR161_ENST00000367835</t>
  </si>
  <si>
    <t>GPR161</t>
  </si>
  <si>
    <t>F2R_ENST00000319211_SP_HA</t>
  </si>
  <si>
    <t>F2R</t>
  </si>
  <si>
    <t>RGR_ENST00000652092</t>
  </si>
  <si>
    <t>RGR</t>
  </si>
  <si>
    <t>C5AR2_ENST00000600626</t>
  </si>
  <si>
    <t>C5AR2</t>
  </si>
  <si>
    <t>ADRA2C_ENST00000330055</t>
  </si>
  <si>
    <t>ADRA2C</t>
  </si>
  <si>
    <t>GPR84_ENST00000551809</t>
  </si>
  <si>
    <t>GPR84</t>
  </si>
  <si>
    <t>HCRTR1_ENST00000373706</t>
  </si>
  <si>
    <t>HCRTR1</t>
  </si>
  <si>
    <t>GPR153_ENST00000377893</t>
  </si>
  <si>
    <t>GPR153</t>
  </si>
  <si>
    <t>AGTR2_ENST00000681852</t>
  </si>
  <si>
    <t>AGTR2</t>
  </si>
  <si>
    <t>C3AR1_ENST00000307637</t>
  </si>
  <si>
    <t>C3AR1</t>
  </si>
  <si>
    <t>CHRM2_ENST00000401861</t>
  </si>
  <si>
    <t>CHRM2</t>
  </si>
  <si>
    <t>CHRM3_ENST00000255380</t>
  </si>
  <si>
    <t>CHRM3</t>
  </si>
  <si>
    <t>CHRM5_ENST00000557872</t>
  </si>
  <si>
    <t>CHRM5</t>
  </si>
  <si>
    <t>CYSLTR1_ENST00000614798</t>
  </si>
  <si>
    <t>CYSLTR1</t>
  </si>
  <si>
    <t>FSHR_ENST00000406846_SP_HA</t>
  </si>
  <si>
    <t>FSHR</t>
  </si>
  <si>
    <t>GALR2_ENST00000329003</t>
  </si>
  <si>
    <t>GALR2</t>
  </si>
  <si>
    <t>GHSR_ENST00000241256</t>
  </si>
  <si>
    <t>GHSR</t>
  </si>
  <si>
    <t>GPBAR1_ENST00000521462</t>
  </si>
  <si>
    <t>GPBAR1</t>
  </si>
  <si>
    <t>GPER1_ENST00000397092</t>
  </si>
  <si>
    <t>GPER1</t>
  </si>
  <si>
    <t>GPR19_ENST00000332427</t>
  </si>
  <si>
    <t>GPR19</t>
  </si>
  <si>
    <t>GPR22_ENST00000304402</t>
  </si>
  <si>
    <t>GPR22</t>
  </si>
  <si>
    <t>GPR34_ENST00000649219</t>
  </si>
  <si>
    <t>GPR34</t>
  </si>
  <si>
    <t>GPR35_ENST00000438013</t>
  </si>
  <si>
    <t>GPR75_ENST00000394705</t>
  </si>
  <si>
    <t>GPR75</t>
  </si>
  <si>
    <t>HRH2_ENST00000624694</t>
  </si>
  <si>
    <t>HRH2</t>
  </si>
  <si>
    <t>HRH4_ENST00000256906</t>
  </si>
  <si>
    <t>HRH4</t>
  </si>
  <si>
    <t>HTR2B_ENST00000258400</t>
  </si>
  <si>
    <t>HTR2B</t>
  </si>
  <si>
    <t>HTR2C_ENST00000276198</t>
  </si>
  <si>
    <t>HTR2C</t>
  </si>
  <si>
    <t>HTR4_ENST00000377888</t>
  </si>
  <si>
    <t>HTR4</t>
  </si>
  <si>
    <t>LGR4_ENST00000379214_SP_HA</t>
  </si>
  <si>
    <t>LGR4</t>
  </si>
  <si>
    <t>LPAR4_ENST00000435339</t>
  </si>
  <si>
    <t>LPAR4</t>
  </si>
  <si>
    <t>LPAR5_ENST00000329858</t>
  </si>
  <si>
    <t>LPAR5</t>
  </si>
  <si>
    <t>LPAR6_ENST00000345941</t>
  </si>
  <si>
    <t>LPAR6</t>
  </si>
  <si>
    <t>LTB4R_ENST00000396782</t>
  </si>
  <si>
    <t>LTB4R</t>
  </si>
  <si>
    <t>LTB4R2_ENST00000543919</t>
  </si>
  <si>
    <t>LTB4R2</t>
  </si>
  <si>
    <t>MC1R_ENST00000555147</t>
  </si>
  <si>
    <t>MC1R</t>
  </si>
  <si>
    <t>MCHR2_ENST00000369212</t>
  </si>
  <si>
    <t>MCHR2</t>
  </si>
  <si>
    <t>MRGPRD_ENST00000309106</t>
  </si>
  <si>
    <t>MRGPRD</t>
  </si>
  <si>
    <t>NMBR_ENST00000258042</t>
  </si>
  <si>
    <t>NMBR</t>
  </si>
  <si>
    <t>NPBWR2_ENST00000369768</t>
  </si>
  <si>
    <t>NPBWR2</t>
  </si>
  <si>
    <t>NPFFR2_ENST00000308744</t>
  </si>
  <si>
    <t>NPFFR2</t>
  </si>
  <si>
    <t>NPY4R2_ENST00000613306</t>
  </si>
  <si>
    <t>NPY4R2</t>
  </si>
  <si>
    <t>NTSR2_ENST00000306928</t>
  </si>
  <si>
    <t>NTSR2</t>
  </si>
  <si>
    <t>OPN3_ENST00000366554</t>
  </si>
  <si>
    <t>OPN3</t>
  </si>
  <si>
    <t>P2RY1_ENST00000305097</t>
  </si>
  <si>
    <t>P2RY1</t>
  </si>
  <si>
    <t>P2RY11_ENST00000321826</t>
  </si>
  <si>
    <t>P2RY11</t>
  </si>
  <si>
    <t>PTAFR_ENST00000539896</t>
  </si>
  <si>
    <t>PTAFR</t>
  </si>
  <si>
    <t>PTGFR_ENST00000370757</t>
  </si>
  <si>
    <t>PTGFR</t>
  </si>
  <si>
    <t>RRH_ENST00000317735</t>
  </si>
  <si>
    <t>RRH</t>
  </si>
  <si>
    <t>S1PR3_ENST00000375846</t>
  </si>
  <si>
    <t>S1PR3</t>
  </si>
  <si>
    <t>TAAR1_ENST00000275216</t>
  </si>
  <si>
    <t>TAAR1</t>
  </si>
  <si>
    <t>TACR1_ENST00000305249</t>
  </si>
  <si>
    <t>TACR1</t>
  </si>
  <si>
    <t>TRHR_ENST00000311762</t>
  </si>
  <si>
    <t>TRHR</t>
  </si>
  <si>
    <t>TSHR_ENST00000541158_SP_HA</t>
  </si>
  <si>
    <t>TSHR</t>
  </si>
  <si>
    <t>OR4Q2_ENST00000710368</t>
  </si>
  <si>
    <t>A (Olfactory)</t>
  </si>
  <si>
    <t>OR4Q2</t>
  </si>
  <si>
    <t>OR52J3_ENST00000380370</t>
  </si>
  <si>
    <t>OR52J3</t>
  </si>
  <si>
    <t>OR56B1_ENST00000317121</t>
  </si>
  <si>
    <t>OR56B1</t>
  </si>
  <si>
    <t>OR7A10_ENST00000641129</t>
  </si>
  <si>
    <t>OR7A10</t>
  </si>
  <si>
    <t>OR7A5_ENST00000594432</t>
  </si>
  <si>
    <t>OR7A5</t>
  </si>
  <si>
    <t>OR52N1_ENST00000641645</t>
  </si>
  <si>
    <t>OR52N1</t>
  </si>
  <si>
    <t>OR52B4_ENST00000624801</t>
  </si>
  <si>
    <t>OR52B4</t>
  </si>
  <si>
    <t>OR6C74_ENST00000343399</t>
  </si>
  <si>
    <t>OR6C74</t>
  </si>
  <si>
    <t>OR2B2_ENST00000303324</t>
  </si>
  <si>
    <t>OR2B2</t>
  </si>
  <si>
    <t>OR1C1_ENST00000408896</t>
  </si>
  <si>
    <t>OR1C1</t>
  </si>
  <si>
    <t>OR51E2_ENST00000396950</t>
  </si>
  <si>
    <t>OR51E2</t>
  </si>
  <si>
    <t>OR10A5_ENST00000299454</t>
  </si>
  <si>
    <t>OR10A5</t>
  </si>
  <si>
    <t>OR2C3_ENST00000641802</t>
  </si>
  <si>
    <t>OR2C3</t>
  </si>
  <si>
    <t>OR8B8_ENST00000328064</t>
  </si>
  <si>
    <t>OR8B8</t>
  </si>
  <si>
    <t>OR5B21_ENST00000360374</t>
  </si>
  <si>
    <t>OR5B21</t>
  </si>
  <si>
    <t>OR5AK2_ENST00000326855_UMI_BSMBI</t>
  </si>
  <si>
    <t>OR5AK2</t>
  </si>
  <si>
    <t>OR4P4_ENST00000641760</t>
  </si>
  <si>
    <t>OR4P4</t>
  </si>
  <si>
    <t>OR56B4_ENST00000316529</t>
  </si>
  <si>
    <t>OR56B4</t>
  </si>
  <si>
    <t>OR51B6_ENST00000380219</t>
  </si>
  <si>
    <t>OR51B6</t>
  </si>
  <si>
    <t>OR10A7_ENST00000326258</t>
  </si>
  <si>
    <t>OR10A7</t>
  </si>
  <si>
    <t>OR52L1_ENST00000332249</t>
  </si>
  <si>
    <t>OR52L1</t>
  </si>
  <si>
    <t>OR1N2_ENST00000373688</t>
  </si>
  <si>
    <t>OR1N2</t>
  </si>
  <si>
    <t>OR4C3_ENST00000319856</t>
  </si>
  <si>
    <t>OR4C3</t>
  </si>
  <si>
    <t>OR6C68_ENST00000548615</t>
  </si>
  <si>
    <t>OR6C68</t>
  </si>
  <si>
    <t>OR2W1_ENST00000377175</t>
  </si>
  <si>
    <t>OR2W1</t>
  </si>
  <si>
    <t>OR5D14_ENST00000335605</t>
  </si>
  <si>
    <t>OR5D14</t>
  </si>
  <si>
    <t>OR10R2_ENST00000641400</t>
  </si>
  <si>
    <t>OR10R2</t>
  </si>
  <si>
    <t>OR6C4_ENST00000394256</t>
  </si>
  <si>
    <t>OR6C4</t>
  </si>
  <si>
    <t>OR8B4_ENST00000356130</t>
  </si>
  <si>
    <t>OR8B4</t>
  </si>
  <si>
    <t>OR52N5_ENST00000317093</t>
  </si>
  <si>
    <t>OR52N5</t>
  </si>
  <si>
    <t>OR4C11_ENST00000641580</t>
  </si>
  <si>
    <t>OR4C11</t>
  </si>
  <si>
    <t>OR12D1_ENST00000703726</t>
  </si>
  <si>
    <t>OR12D1</t>
  </si>
  <si>
    <t>OR2D2_ENST00000299459_UMI_BSMBI</t>
  </si>
  <si>
    <t>OR2D2</t>
  </si>
  <si>
    <t>OR13D1_ENST00000641530</t>
  </si>
  <si>
    <t>OR13D1</t>
  </si>
  <si>
    <t>OR7G1_ENST00000541538</t>
  </si>
  <si>
    <t>OR7G1</t>
  </si>
  <si>
    <t>OR4K15_ENST00000305051</t>
  </si>
  <si>
    <t>OR4K15</t>
  </si>
  <si>
    <t>OR5M10_ENST00000526538</t>
  </si>
  <si>
    <t>OR5M10</t>
  </si>
  <si>
    <t>OR5I1_ENST00000301532</t>
  </si>
  <si>
    <t>OR5I1</t>
  </si>
  <si>
    <t>OR11H6_ENST00000315519</t>
  </si>
  <si>
    <t>OR11H6</t>
  </si>
  <si>
    <t>OR5M1_ENST00000641076</t>
  </si>
  <si>
    <t>OR5M1</t>
  </si>
  <si>
    <t>OR51A2_ENST00000380371</t>
  </si>
  <si>
    <t>OR51A2</t>
  </si>
  <si>
    <t>OR51B2_ENST00000624187</t>
  </si>
  <si>
    <t>OR51B2</t>
  </si>
  <si>
    <t>OR2F2_ENST00000408955</t>
  </si>
  <si>
    <t>OR2F2</t>
  </si>
  <si>
    <t>OR4C15_ENST00000642128</t>
  </si>
  <si>
    <t>OR4C15</t>
  </si>
  <si>
    <t>OR6X1_ENST00000327930</t>
  </si>
  <si>
    <t>OR6X1</t>
  </si>
  <si>
    <t>OR4C6_ENST00000690330</t>
  </si>
  <si>
    <t>OR4C6</t>
  </si>
  <si>
    <t>OR2T7_ENST00000626837</t>
  </si>
  <si>
    <t>OR2T7</t>
  </si>
  <si>
    <t>OR5B3_ENST00000641865</t>
  </si>
  <si>
    <t>OR5B3</t>
  </si>
  <si>
    <t>OR10T2_ENST00000334438</t>
  </si>
  <si>
    <t>OR10T2</t>
  </si>
  <si>
    <t>OR4C46_ENST00000328188</t>
  </si>
  <si>
    <t>OR4C46</t>
  </si>
  <si>
    <t>OR2H1_ENST00000396792</t>
  </si>
  <si>
    <t>OR2H1</t>
  </si>
  <si>
    <t>OR4D9_ENST00000641962</t>
  </si>
  <si>
    <t>OR4D9</t>
  </si>
  <si>
    <t>OR8H1_ENST00000313022</t>
  </si>
  <si>
    <t>OR8H1</t>
  </si>
  <si>
    <t>OR6C70_ENST00000327335</t>
  </si>
  <si>
    <t>OR6C70</t>
  </si>
  <si>
    <t>OR4A15_ENST00000641526</t>
  </si>
  <si>
    <t>OR4A15</t>
  </si>
  <si>
    <t>OR5D13_ENST00000623930</t>
  </si>
  <si>
    <t>OR5D13</t>
  </si>
  <si>
    <t>OR4X2_ENST00000624868</t>
  </si>
  <si>
    <t>OR4X2</t>
  </si>
  <si>
    <t>OR4C12_ENST00000335238</t>
  </si>
  <si>
    <t>OR4C12</t>
  </si>
  <si>
    <t>OR5D16_ENST00000378396</t>
  </si>
  <si>
    <t>OR5D16</t>
  </si>
  <si>
    <t>OR4K5_ENST00000315915</t>
  </si>
  <si>
    <t>OR4K5</t>
  </si>
  <si>
    <t>OR10J5_ENST00000334857</t>
  </si>
  <si>
    <t>OR10J5</t>
  </si>
  <si>
    <t>OR5AS1_ENST00000641320</t>
  </si>
  <si>
    <t>OR5AS1</t>
  </si>
  <si>
    <t>OR8H3_ENST00000313472</t>
  </si>
  <si>
    <t>OR8H3</t>
  </si>
  <si>
    <t>OR1G1_ENST00000328890</t>
  </si>
  <si>
    <t>OR1G1</t>
  </si>
  <si>
    <t>OR52E8_ENST00000537935</t>
  </si>
  <si>
    <t>OR52E8</t>
  </si>
  <si>
    <t>OR10W1_ENST00000395079</t>
  </si>
  <si>
    <t>OR10W1</t>
  </si>
  <si>
    <t>OR7A17_ENST00000641113</t>
  </si>
  <si>
    <t>OR7A17</t>
  </si>
  <si>
    <t>OR52M1_ENST00000360213</t>
  </si>
  <si>
    <t>OR52M1</t>
  </si>
  <si>
    <t>OR2V2_ENST00000641791</t>
  </si>
  <si>
    <t>OR2V2</t>
  </si>
  <si>
    <t>OR5AN1_ENST00000313940</t>
  </si>
  <si>
    <t>OR5AN1</t>
  </si>
  <si>
    <t>OR6C1_ENST00000379668</t>
  </si>
  <si>
    <t>OR6C1</t>
  </si>
  <si>
    <t>OR5J2_ENST00000312298</t>
  </si>
  <si>
    <t>OR5J2</t>
  </si>
  <si>
    <t>OR8H2_ENST00000641311</t>
  </si>
  <si>
    <t>OR8H2</t>
  </si>
  <si>
    <t>OR4S1_ENST00000319988</t>
  </si>
  <si>
    <t>OR4S1</t>
  </si>
  <si>
    <t>OR10V1_ENST00000307552</t>
  </si>
  <si>
    <t>OR10V1</t>
  </si>
  <si>
    <t>OR52D1_ENST00000322641</t>
  </si>
  <si>
    <t>OR52D1</t>
  </si>
  <si>
    <t>OR2J2_ENST00000427744</t>
  </si>
  <si>
    <t>OR2J2</t>
  </si>
  <si>
    <t>OR10J4_ENST00000710315</t>
  </si>
  <si>
    <t>OR10J4</t>
  </si>
  <si>
    <t>OR11H12_ENST00000550708</t>
  </si>
  <si>
    <t>OR11H12</t>
  </si>
  <si>
    <t>OR6K2_ENST00000359610</t>
  </si>
  <si>
    <t>OR6K2</t>
  </si>
  <si>
    <t>OR8D2_ENST00000624618</t>
  </si>
  <si>
    <t>OR8D2</t>
  </si>
  <si>
    <t>OR10H3_ENST00000641646</t>
  </si>
  <si>
    <t>OR10H3</t>
  </si>
  <si>
    <t>OR1J1_ENST00000259357</t>
  </si>
  <si>
    <t>OR1J1</t>
  </si>
  <si>
    <t>OR8U3_ENST00000623286</t>
  </si>
  <si>
    <t>OR8U3</t>
  </si>
  <si>
    <t>OR51F1_ENST00000624103</t>
  </si>
  <si>
    <t>OR51F1</t>
  </si>
  <si>
    <t>OR5AP2_ENST00000544374</t>
  </si>
  <si>
    <t>OR5AP2</t>
  </si>
  <si>
    <t>OR51T1_ENST00000322049</t>
  </si>
  <si>
    <t>OR51T1</t>
  </si>
  <si>
    <t>OR8K3_ENST00000641689</t>
  </si>
  <si>
    <t>OR8K3</t>
  </si>
  <si>
    <t>OR1J4_ENST00000340750</t>
  </si>
  <si>
    <t>OR1J4</t>
  </si>
  <si>
    <t>OR5W2_ENST00000344514</t>
  </si>
  <si>
    <t>OR5W2</t>
  </si>
  <si>
    <t>OR13C4_ENST00000277216</t>
  </si>
  <si>
    <t>OR13C4</t>
  </si>
  <si>
    <t>OR56A5_ENST00000532411</t>
  </si>
  <si>
    <t>OR56A5</t>
  </si>
  <si>
    <t>OR6C3_ENST00000641740</t>
  </si>
  <si>
    <t>OR6C3</t>
  </si>
  <si>
    <t>OR10A4_ENST00000379829</t>
  </si>
  <si>
    <t>OR10A4</t>
  </si>
  <si>
    <t>OR13C9_ENST00000259362</t>
  </si>
  <si>
    <t>OR13C9</t>
  </si>
  <si>
    <t>OR2AJ1_ENST00000318244</t>
  </si>
  <si>
    <t>OR2AJ1</t>
  </si>
  <si>
    <t>OR1E1_ENST00000322608</t>
  </si>
  <si>
    <t>OR1E1</t>
  </si>
  <si>
    <t>OR2L3_ENST00000641161</t>
  </si>
  <si>
    <t>OR2L3</t>
  </si>
  <si>
    <t>OR1E2_ENST00000248384</t>
  </si>
  <si>
    <t>OR1E2</t>
  </si>
  <si>
    <t>OR2A5_ENST00000641693</t>
  </si>
  <si>
    <t>OR2A5</t>
  </si>
  <si>
    <t>OR52B2_ENST00000530810</t>
  </si>
  <si>
    <t>OR52B2</t>
  </si>
  <si>
    <t>OR9G4_ENST00000575017</t>
  </si>
  <si>
    <t>OR9G4</t>
  </si>
  <si>
    <t>OR11H1_ENST00000643195</t>
  </si>
  <si>
    <t>OR11H1</t>
  </si>
  <si>
    <t>OR52K1_ENST00000641528</t>
  </si>
  <si>
    <t>OR52K1</t>
  </si>
  <si>
    <t>OR4D5_ENST00000307033</t>
  </si>
  <si>
    <t>OR4D5</t>
  </si>
  <si>
    <t>OR5D18_ENST00000333976</t>
  </si>
  <si>
    <t>OR5D18</t>
  </si>
  <si>
    <t>OR51A7_ENST00000359350</t>
  </si>
  <si>
    <t>OR51A7</t>
  </si>
  <si>
    <t>OR11L1_ENST00000355784</t>
  </si>
  <si>
    <t>OR11L1</t>
  </si>
  <si>
    <t>OR9A2_ENST00000350513</t>
  </si>
  <si>
    <t>OR9A2</t>
  </si>
  <si>
    <t>OR2T27_ENST00000641652</t>
  </si>
  <si>
    <t>OR2T27</t>
  </si>
  <si>
    <t>OR7C1_ENST00000248073</t>
  </si>
  <si>
    <t>OR7C1</t>
  </si>
  <si>
    <t>OR4C5_ENST00000319813</t>
  </si>
  <si>
    <t>OR4C5</t>
  </si>
  <si>
    <t>OR5T2_ENST00000573647</t>
  </si>
  <si>
    <t>OR5T2</t>
  </si>
  <si>
    <t>OR4A47_ENST00000446524</t>
  </si>
  <si>
    <t>OR4A47</t>
  </si>
  <si>
    <t>OR8B12_ENST00000306842</t>
  </si>
  <si>
    <t>OR8B12</t>
  </si>
  <si>
    <t>OR4M2B_ENST00000332663</t>
  </si>
  <si>
    <t>OR4M2B</t>
  </si>
  <si>
    <t>OR52H1_ENST00000641796</t>
  </si>
  <si>
    <t>OR52H1</t>
  </si>
  <si>
    <t>OR8U9_ENST00000626074</t>
  </si>
  <si>
    <t>OR8U9</t>
  </si>
  <si>
    <t>OR1Q1_ENST00000297913</t>
  </si>
  <si>
    <t>OR1Q1</t>
  </si>
  <si>
    <t>OR52W1_ENST00000311352</t>
  </si>
  <si>
    <t>OR52W1</t>
  </si>
  <si>
    <t>OR5V1_ENST00000377154</t>
  </si>
  <si>
    <t>OR5V1</t>
  </si>
  <si>
    <t>OR4C16_ENST00000623907</t>
  </si>
  <si>
    <t>OR4C16</t>
  </si>
  <si>
    <t>OR4M1_ENST00000315957</t>
  </si>
  <si>
    <t>OR4M1</t>
  </si>
  <si>
    <t>OR2J1_ENST00000377171</t>
  </si>
  <si>
    <t>OR2J1</t>
  </si>
  <si>
    <t>OR8G1_ENST00000641972</t>
  </si>
  <si>
    <t>OR8G1</t>
  </si>
  <si>
    <t>OR2T10_ENST00000330500</t>
  </si>
  <si>
    <t>OR2T10</t>
  </si>
  <si>
    <t>OR4K17_ENST00000641386</t>
  </si>
  <si>
    <t>OR4K17</t>
  </si>
  <si>
    <t>OR11H2_ENST00000556246</t>
  </si>
  <si>
    <t>OR11H2</t>
  </si>
  <si>
    <t>OR4F17_ENST00000318050</t>
  </si>
  <si>
    <t>OR4F17</t>
  </si>
  <si>
    <t>OR51B4_ENST00000380224</t>
  </si>
  <si>
    <t>OR51B4</t>
  </si>
  <si>
    <t>OR10A3_ENST00000642047</t>
  </si>
  <si>
    <t>OR10A3</t>
  </si>
  <si>
    <t>OR5AR1_ENST00000624596</t>
  </si>
  <si>
    <t>OR5AR1</t>
  </si>
  <si>
    <t>OR5B17_ENST00000357377</t>
  </si>
  <si>
    <t>OR5B17</t>
  </si>
  <si>
    <t>OR10D3_ENST00000318666</t>
  </si>
  <si>
    <t>OR10D3</t>
  </si>
  <si>
    <t>OR5B2_ENST00000302581</t>
  </si>
  <si>
    <t>OR5B2</t>
  </si>
  <si>
    <t>OR1B1_ENST00000707075</t>
  </si>
  <si>
    <t>OR1B1</t>
  </si>
  <si>
    <t>OR8K5_ENST00000313447</t>
  </si>
  <si>
    <t>OR8K5</t>
  </si>
  <si>
    <t>OR2C1_ENST00000304936</t>
  </si>
  <si>
    <t>OR2C1</t>
  </si>
  <si>
    <t>OR2AT4_ENST00000305159</t>
  </si>
  <si>
    <t>OR2AT4</t>
  </si>
  <si>
    <t>OR4F21_ENST00000320901</t>
  </si>
  <si>
    <t>OR4F21</t>
  </si>
  <si>
    <t>OR4N4C_ENST00000623441</t>
  </si>
  <si>
    <t>OR4N4C</t>
  </si>
  <si>
    <t>OR4K13_ENST00000641904</t>
  </si>
  <si>
    <t>OR4K13</t>
  </si>
  <si>
    <t>OR6C75_ENST00000641576</t>
  </si>
  <si>
    <t>OR6C75</t>
  </si>
  <si>
    <t>OR9G9_ENST00000571130</t>
  </si>
  <si>
    <t>OR9G9</t>
  </si>
  <si>
    <t>OR6F1_ENST00000641470</t>
  </si>
  <si>
    <t>OR6F1</t>
  </si>
  <si>
    <t>OR52B6_ENST00000345043</t>
  </si>
  <si>
    <t>OR52B6</t>
  </si>
  <si>
    <t>OR51G2_ENST00000641926</t>
  </si>
  <si>
    <t>OR51G2</t>
  </si>
  <si>
    <t>OR4K14_ENST00000641793</t>
  </si>
  <si>
    <t>OR4K14</t>
  </si>
  <si>
    <t>OR10K1_ENST00000641971</t>
  </si>
  <si>
    <t>OR10K1</t>
  </si>
  <si>
    <t>OR6S1_ENST00000320704</t>
  </si>
  <si>
    <t>OR6S1</t>
  </si>
  <si>
    <t>OR10P1_ENST00000309675</t>
  </si>
  <si>
    <t>OR10P1</t>
  </si>
  <si>
    <t>OR6V1_ENST00000418316</t>
  </si>
  <si>
    <t>OR6V1</t>
  </si>
  <si>
    <t>OR10AG1_ENST00000312345</t>
  </si>
  <si>
    <t>OR10AG1</t>
  </si>
  <si>
    <t>OR6C6_ENST00000358433</t>
  </si>
  <si>
    <t>OR6C6</t>
  </si>
  <si>
    <t>OR4M2_ENST00000614722</t>
  </si>
  <si>
    <t>OR4M2</t>
  </si>
  <si>
    <t>OR51L1_ENST00000641819</t>
  </si>
  <si>
    <t>OR51L1</t>
  </si>
  <si>
    <t>OR4N4_ENST00000328795</t>
  </si>
  <si>
    <t>OR4N4</t>
  </si>
  <si>
    <t>OR5B12_ENST00000302572</t>
  </si>
  <si>
    <t>OR5B12</t>
  </si>
  <si>
    <t>OR2Z1_ENST00000641125</t>
  </si>
  <si>
    <t>OR2Z1</t>
  </si>
  <si>
    <t>OR11G2_ENST00000641879</t>
  </si>
  <si>
    <t>OR11G2</t>
  </si>
  <si>
    <t>OR2L8_ENST00000623922</t>
  </si>
  <si>
    <t>OR2L8</t>
  </si>
  <si>
    <t>OR1D5_ENST00000575751</t>
  </si>
  <si>
    <t>OR1D5</t>
  </si>
  <si>
    <t>OR1A1_ENST00000641732</t>
  </si>
  <si>
    <t>OR1A1</t>
  </si>
  <si>
    <t>OR10Z1_ENST00000641002</t>
  </si>
  <si>
    <t>OR10Z1</t>
  </si>
  <si>
    <t>OR5T3_ENST00000575738</t>
  </si>
  <si>
    <t>OR5T3</t>
  </si>
  <si>
    <t>OR5C1_ENST00000373680</t>
  </si>
  <si>
    <t>OR5C1</t>
  </si>
  <si>
    <t>OR10G6_ENST00000307002</t>
  </si>
  <si>
    <t>OR10G6</t>
  </si>
  <si>
    <t>OR8J1_ENST00000303039</t>
  </si>
  <si>
    <t>OR8J1</t>
  </si>
  <si>
    <t>OR2AG2_ENST00000641169</t>
  </si>
  <si>
    <t>OR2AG2</t>
  </si>
  <si>
    <t>OR4X1_ENST00000320048</t>
  </si>
  <si>
    <t>OR4X1</t>
  </si>
  <si>
    <t>OR4F5_ENST00000641515</t>
  </si>
  <si>
    <t>OR4F5</t>
  </si>
  <si>
    <t>OR14J1_ENST00000377160</t>
  </si>
  <si>
    <t>OR14J1</t>
  </si>
  <si>
    <t>OR51I1_ENST00000380211</t>
  </si>
  <si>
    <t>OR51I1</t>
  </si>
  <si>
    <t>OR14K1_ENST00000283225</t>
  </si>
  <si>
    <t>OR14K1</t>
  </si>
  <si>
    <t>OR56A4_ENST00000641279</t>
  </si>
  <si>
    <t>OR56A4</t>
  </si>
  <si>
    <t>OR7E24_ENST00000456448</t>
  </si>
  <si>
    <t>OR7E24</t>
  </si>
  <si>
    <t>OR4D2_ENST00000641866</t>
  </si>
  <si>
    <t>OR4D2</t>
  </si>
  <si>
    <t>OR4D11_ENST00000313253</t>
  </si>
  <si>
    <t>OR4D11</t>
  </si>
  <si>
    <t>OR5M11_ENST00000528616</t>
  </si>
  <si>
    <t>OR5M11</t>
  </si>
  <si>
    <t>OR52N2_ENST00000317037</t>
  </si>
  <si>
    <t>OR52N2</t>
  </si>
  <si>
    <t>OR13C2_ENST00000542196</t>
  </si>
  <si>
    <t>OR13C2</t>
  </si>
  <si>
    <t>OR8U1_ENST00000302270</t>
  </si>
  <si>
    <t>OR8U1</t>
  </si>
  <si>
    <t>OR6C76_ENST00000328314</t>
  </si>
  <si>
    <t>OR6C76</t>
  </si>
  <si>
    <t>OR51B5_ENST00000300773</t>
  </si>
  <si>
    <t>OR51B5</t>
  </si>
  <si>
    <t>OR5P2_ENST00000329434</t>
  </si>
  <si>
    <t>OR5P2</t>
  </si>
  <si>
    <t>OR5K3_ENST00000383695</t>
  </si>
  <si>
    <t>OR5K3</t>
  </si>
  <si>
    <t>OR4K1_ENST00000285600</t>
  </si>
  <si>
    <t>OR4K1</t>
  </si>
  <si>
    <t>OR5P3_ENST00000641167</t>
  </si>
  <si>
    <t>OR5P3</t>
  </si>
  <si>
    <t>OR4F6_ENST00000328882</t>
  </si>
  <si>
    <t>OR4F6</t>
  </si>
  <si>
    <t>OR6B1_ENST00000408922</t>
  </si>
  <si>
    <t>OR6B1</t>
  </si>
  <si>
    <t>OR13C3_ENST00000641090</t>
  </si>
  <si>
    <t>OR13C3</t>
  </si>
  <si>
    <t>OR2A25_ENST00000408898</t>
  </si>
  <si>
    <t>OR2A25</t>
  </si>
  <si>
    <t>OR5T1_ENST00000641665</t>
  </si>
  <si>
    <t>OR5T1</t>
  </si>
  <si>
    <t>OR2J3_ENST00000418630</t>
  </si>
  <si>
    <t>OR2J3</t>
  </si>
  <si>
    <t>OR1L8_ENST00000641027</t>
  </si>
  <si>
    <t>OR1L8</t>
  </si>
  <si>
    <t>OR8A1_ENST00000642111</t>
  </si>
  <si>
    <t>OR8A1</t>
  </si>
  <si>
    <t>OR6K6_ENST00000641861</t>
  </si>
  <si>
    <t>OR6K6</t>
  </si>
  <si>
    <t>OR10G9_ENST00000375024</t>
  </si>
  <si>
    <t>OR10G9</t>
  </si>
  <si>
    <t>OR11A1_ENST00000377149</t>
  </si>
  <si>
    <t>OR11A1</t>
  </si>
  <si>
    <t>OR10G4_ENST00000641722</t>
  </si>
  <si>
    <t>OR10G4</t>
  </si>
  <si>
    <t>OR7D4_ENST00000308682</t>
  </si>
  <si>
    <t>OR7D4</t>
  </si>
  <si>
    <t>OR13C5_ENST00000374779</t>
  </si>
  <si>
    <t>OR13C5</t>
  </si>
  <si>
    <t>OR5A2_ENST00000641673</t>
  </si>
  <si>
    <t>OR5A2</t>
  </si>
  <si>
    <t>OR56A3_ENST00000641905</t>
  </si>
  <si>
    <t>OR56A3</t>
  </si>
  <si>
    <t>OR9G1_ENST00000642097</t>
  </si>
  <si>
    <t>OR9G1</t>
  </si>
  <si>
    <t>OR8G5_ENST00000641992</t>
  </si>
  <si>
    <t>OR8G5</t>
  </si>
  <si>
    <t>OR5AU1_ENST00000641822</t>
  </si>
  <si>
    <t>OR5AU1</t>
  </si>
  <si>
    <t>OR6J1_ENST00000540461</t>
  </si>
  <si>
    <t>OR6J1</t>
  </si>
  <si>
    <t>OR2G3_ENST00000320002</t>
  </si>
  <si>
    <t>OR2G3</t>
  </si>
  <si>
    <t>OR2T11_ENST00000641193</t>
  </si>
  <si>
    <t>OR2T11</t>
  </si>
  <si>
    <t>OR5K2_ENST00000427338</t>
  </si>
  <si>
    <t>OR5K2</t>
  </si>
  <si>
    <t>OR1L4_ENST00000259466</t>
  </si>
  <si>
    <t>OR1L4</t>
  </si>
  <si>
    <t>OR10AD1_ENST00000310248</t>
  </si>
  <si>
    <t>OR10AD1</t>
  </si>
  <si>
    <t>OR2T33_ENST00000318021</t>
  </si>
  <si>
    <t>OR2T33</t>
  </si>
  <si>
    <t>OR8U8_ENST00000627176</t>
  </si>
  <si>
    <t>OR8U8</t>
  </si>
  <si>
    <t>OR7G2_ENST00000641081</t>
  </si>
  <si>
    <t>OR7G2</t>
  </si>
  <si>
    <t>OR4D1_ENST00000641449</t>
  </si>
  <si>
    <t>OR4D1</t>
  </si>
  <si>
    <t>OR2K2_ENST00000302681</t>
  </si>
  <si>
    <t>OR2K2</t>
  </si>
  <si>
    <t>OR4N5_ENST00000641086</t>
  </si>
  <si>
    <t>OR4N5</t>
  </si>
  <si>
    <t>OR9A4_ENST00000548136</t>
  </si>
  <si>
    <t>OR9A4</t>
  </si>
  <si>
    <t>OR5H2_ENST00000355273</t>
  </si>
  <si>
    <t>OR5H2</t>
  </si>
  <si>
    <t>OR51Q1_ENST00000300778</t>
  </si>
  <si>
    <t>OR51Q1</t>
  </si>
  <si>
    <t>OR2T34_ENST00000328782</t>
  </si>
  <si>
    <t>OR2T34</t>
  </si>
  <si>
    <t>OR2V1_ENST00000641551</t>
  </si>
  <si>
    <t>OR2V1</t>
  </si>
  <si>
    <t>OR4L1_ENST00000315683</t>
  </si>
  <si>
    <t>OR4L1</t>
  </si>
  <si>
    <t>OR1L1_ENST00000373686</t>
  </si>
  <si>
    <t>OR1L1</t>
  </si>
  <si>
    <t>OR1S2_ENST00000641683</t>
  </si>
  <si>
    <t>OR1S2</t>
  </si>
  <si>
    <t>OR5K1_ENST00000332650</t>
  </si>
  <si>
    <t>OR5K1</t>
  </si>
  <si>
    <t>OR52E2_ENST00000321522</t>
  </si>
  <si>
    <t>OR52E2</t>
  </si>
  <si>
    <t>OR4Q3_ENST00000642117</t>
  </si>
  <si>
    <t>OR4Q3</t>
  </si>
  <si>
    <t>OR2M7_ENST00000317965</t>
  </si>
  <si>
    <t>OR2M7</t>
  </si>
  <si>
    <t>OR52I1_ENST00000530443</t>
  </si>
  <si>
    <t>OR52I1</t>
  </si>
  <si>
    <t>OR6A2_ENST00000641196</t>
  </si>
  <si>
    <t>OR6A2</t>
  </si>
  <si>
    <t>OR1A2_ENST00000381951</t>
  </si>
  <si>
    <t>OR1A2</t>
  </si>
  <si>
    <t>OR6N1_ENST00000641846</t>
  </si>
  <si>
    <t>OR6N1</t>
  </si>
  <si>
    <t>OR10J3_ENST00000709165</t>
  </si>
  <si>
    <t>OR10J3</t>
  </si>
  <si>
    <t>OR9Q2_ENST00000641291</t>
  </si>
  <si>
    <t>OR9Q2</t>
  </si>
  <si>
    <t>OR13A1_ENST00000536058</t>
  </si>
  <si>
    <t>OR13A1</t>
  </si>
  <si>
    <t>OR1N1_ENST00000304880</t>
  </si>
  <si>
    <t>OR1N1</t>
  </si>
  <si>
    <t>OR2B11_ENST00000641527</t>
  </si>
  <si>
    <t>OR2B11</t>
  </si>
  <si>
    <t>OR52R1_ENST00000624978</t>
  </si>
  <si>
    <t>OR52R1</t>
  </si>
  <si>
    <t>OR10G8_ENST00000431524</t>
  </si>
  <si>
    <t>OR10G8</t>
  </si>
  <si>
    <t>OR1K1_ENST00000277309</t>
  </si>
  <si>
    <t>OR1K1</t>
  </si>
  <si>
    <t>OR4B1_ENST00000309562</t>
  </si>
  <si>
    <t>OR4B1</t>
  </si>
  <si>
    <t>OR2I1P_ENST00000641137</t>
  </si>
  <si>
    <t>OR2I1P</t>
  </si>
  <si>
    <t>OR10G7_ENST00000641585</t>
  </si>
  <si>
    <t>OR10G7</t>
  </si>
  <si>
    <t>OR2T3_ENST00000359594</t>
  </si>
  <si>
    <t>OR2T3</t>
  </si>
  <si>
    <t>OR2A1_ENST00000641044</t>
  </si>
  <si>
    <t>OR2A1</t>
  </si>
  <si>
    <t>OR2A12_ENST00000408949</t>
  </si>
  <si>
    <t>OR2A12</t>
  </si>
  <si>
    <t>OR10Q1_ENST00000316770</t>
  </si>
  <si>
    <t>OR10Q1</t>
  </si>
  <si>
    <t>OR2M5_ENST00000366476</t>
  </si>
  <si>
    <t>OR2M5</t>
  </si>
  <si>
    <t>OR10X1_ENST00000623167</t>
  </si>
  <si>
    <t>OR10X1</t>
  </si>
  <si>
    <t>OR2AG1_ENST00000641258</t>
  </si>
  <si>
    <t>OR2AG1</t>
  </si>
  <si>
    <t>OR8I2_ENST00000302124</t>
  </si>
  <si>
    <t>OR8I2</t>
  </si>
  <si>
    <t>OR9Q1_ENST00000612174</t>
  </si>
  <si>
    <t>OR9Q1</t>
  </si>
  <si>
    <t>OR56A1_ENST00000641900</t>
  </si>
  <si>
    <t>OR56A1</t>
  </si>
  <si>
    <t>OR2G2_ENST00000320065</t>
  </si>
  <si>
    <t>OR2G2</t>
  </si>
  <si>
    <t>OR6Q1_ENST00000302622</t>
  </si>
  <si>
    <t>OR6Q1</t>
  </si>
  <si>
    <t>OR2AK2_ENST00000366480</t>
  </si>
  <si>
    <t>OR2AK2</t>
  </si>
  <si>
    <t>OR2A2_ENST00000408979</t>
  </si>
  <si>
    <t>OR2A2</t>
  </si>
  <si>
    <t>OR4D10_ENST00000530162</t>
  </si>
  <si>
    <t>OR4D10</t>
  </si>
  <si>
    <t>OR1S1_ENST00000641544</t>
  </si>
  <si>
    <t>OR1S1</t>
  </si>
  <si>
    <t>OR52E6_ENST00000329322</t>
  </si>
  <si>
    <t>OR52E6</t>
  </si>
  <si>
    <t>OR5L2_ENST00000378397</t>
  </si>
  <si>
    <t>OR5L2</t>
  </si>
  <si>
    <t>OR12D2_ENST00000623183_UMI_BSMBI</t>
  </si>
  <si>
    <t>OR12D2</t>
  </si>
  <si>
    <t>OR2T1_ENST00000613540</t>
  </si>
  <si>
    <t>OR2T1</t>
  </si>
  <si>
    <t>OR7G3_ENST00000305444</t>
  </si>
  <si>
    <t>OR7G3</t>
  </si>
  <si>
    <t>OR6K3_ENST00000368146</t>
  </si>
  <si>
    <t>OR6K3</t>
  </si>
  <si>
    <t>OR2T8_ENST00000641945</t>
  </si>
  <si>
    <t>OR2T8</t>
  </si>
  <si>
    <t>OR52I2_ENST00000641896</t>
  </si>
  <si>
    <t>OR52I2</t>
  </si>
  <si>
    <t>OR1J2_ENST00000335302</t>
  </si>
  <si>
    <t>OR1J2</t>
  </si>
  <si>
    <t>OR14C36_ENST00000317861</t>
  </si>
  <si>
    <t>OR14C36</t>
  </si>
  <si>
    <t>OR4E1_ENST00000641792</t>
  </si>
  <si>
    <t>OR4E1</t>
  </si>
  <si>
    <t>OR5L1_ENST00000625203</t>
  </si>
  <si>
    <t>OR5L1</t>
  </si>
  <si>
    <t>OR10S1_ENST00000641123</t>
  </si>
  <si>
    <t>OR10S1</t>
  </si>
  <si>
    <t>OR2F1_ENST00000624504</t>
  </si>
  <si>
    <t>OR2F1</t>
  </si>
  <si>
    <t>OR1M1_ENST00000429566</t>
  </si>
  <si>
    <t>OR1M1</t>
  </si>
  <si>
    <t>OR2M3_ENST00000456743</t>
  </si>
  <si>
    <t>OR2M3</t>
  </si>
  <si>
    <t>OR5A1_ENST00000641045</t>
  </si>
  <si>
    <t>OR5A1</t>
  </si>
  <si>
    <t>OR4D6_ENST00000300127</t>
  </si>
  <si>
    <t>OR4D6</t>
  </si>
  <si>
    <t>OR2M4_ENST00000641868</t>
  </si>
  <si>
    <t>OR2M4</t>
  </si>
  <si>
    <t>OR2T2_ENST00000641925</t>
  </si>
  <si>
    <t>OR2T2</t>
  </si>
  <si>
    <t>OR5M9_ENST00000279791</t>
  </si>
  <si>
    <t>OR5M9</t>
  </si>
  <si>
    <t>OR5H15_ENST00000641450</t>
  </si>
  <si>
    <t>OR5H15</t>
  </si>
  <si>
    <t>OR2T35_ENST00000641268</t>
  </si>
  <si>
    <t>OR2T35</t>
  </si>
  <si>
    <t>OR10G2_ENST00000542433</t>
  </si>
  <si>
    <t>OR10G2</t>
  </si>
  <si>
    <t>OR5M8_ENST00000327216</t>
  </si>
  <si>
    <t>OR5M8</t>
  </si>
  <si>
    <t>OR51G1_ENST00000623849</t>
  </si>
  <si>
    <t>OR51G1</t>
  </si>
  <si>
    <t>OR13C8_ENST00000335040</t>
  </si>
  <si>
    <t>OR13C8</t>
  </si>
  <si>
    <t>OR1L6_ENST00000373684</t>
  </si>
  <si>
    <t>OR1L6</t>
  </si>
  <si>
    <t>OR5H6_ENST00000642105</t>
  </si>
  <si>
    <t>OR5H6</t>
  </si>
  <si>
    <t>OR6T1_ENST00000321252</t>
  </si>
  <si>
    <t>OR6T1</t>
  </si>
  <si>
    <t>OR8S1_ENST00000641651</t>
  </si>
  <si>
    <t>OR8S1</t>
  </si>
  <si>
    <t>OR5AC2_ENST00000358642</t>
  </si>
  <si>
    <t>OR5AC2</t>
  </si>
  <si>
    <t>OR5H14_ENST00000437310</t>
  </si>
  <si>
    <t>OR5H14</t>
  </si>
  <si>
    <t>OR2G6_ENST00000641501</t>
  </si>
  <si>
    <t>OR2G6</t>
  </si>
  <si>
    <t>OR11H4_ENST00000641082</t>
  </si>
  <si>
    <t>OR11H4</t>
  </si>
  <si>
    <t>OR5M3_ENST00000641993</t>
  </si>
  <si>
    <t>OR5M3</t>
  </si>
  <si>
    <t>OR1F1_ENST00000304646</t>
  </si>
  <si>
    <t>OR1F1</t>
  </si>
  <si>
    <t>OR2A7_ENST00000493325</t>
  </si>
  <si>
    <t>OR2A7</t>
  </si>
  <si>
    <t>OR5F1_ENST00000278409</t>
  </si>
  <si>
    <t>OR5F1</t>
  </si>
  <si>
    <t>OR2H2_ENST00000383640</t>
  </si>
  <si>
    <t>OR2H2</t>
  </si>
  <si>
    <t>OR4N2_ENST00000315947</t>
  </si>
  <si>
    <t>OR4N2</t>
  </si>
  <si>
    <t>OR12D3_ENST00000396806</t>
  </si>
  <si>
    <t>OR12D3</t>
  </si>
  <si>
    <t>OR2A4_ENST00000315453</t>
  </si>
  <si>
    <t>OR2A4</t>
  </si>
  <si>
    <t>OR5H1_ENST00000641874</t>
  </si>
  <si>
    <t>OR5H1</t>
  </si>
  <si>
    <t>OR1I1_ENST00000209540</t>
  </si>
  <si>
    <t>OR1I1</t>
  </si>
  <si>
    <t>OR2S2_ENST00000341959</t>
  </si>
  <si>
    <t>OR2S2</t>
  </si>
  <si>
    <t>OR6M1_ENST00000309154</t>
  </si>
  <si>
    <t>OR6M1</t>
  </si>
  <si>
    <t>OR5K4_ENST00000354924</t>
  </si>
  <si>
    <t>OR5K4</t>
  </si>
  <si>
    <t>OR10H5_ENST00000308940</t>
  </si>
  <si>
    <t>OR10H5</t>
  </si>
  <si>
    <t>OR13J1_ENST00000377981</t>
  </si>
  <si>
    <t>OR13J1</t>
  </si>
  <si>
    <t>OR2W3_ENST00000360358</t>
  </si>
  <si>
    <t>OR2W3</t>
  </si>
  <si>
    <t>OR3A1_ENST00000323404</t>
  </si>
  <si>
    <t>OR3A1</t>
  </si>
  <si>
    <t>OR2M2_ENST00000641836</t>
  </si>
  <si>
    <t>OR2M2</t>
  </si>
  <si>
    <t>OR7D2_ENST00000344248</t>
  </si>
  <si>
    <t>OR7D2</t>
  </si>
  <si>
    <t>OR2L13_ENST00000641714</t>
  </si>
  <si>
    <t>OR2L13</t>
  </si>
  <si>
    <t>OR2Y1_ENST00000307832</t>
  </si>
  <si>
    <t>OR2Y1</t>
  </si>
  <si>
    <t>OR2T29_ENST00000328570</t>
  </si>
  <si>
    <t>OR2T29</t>
  </si>
  <si>
    <t>OR2T5_ENST00000641363</t>
  </si>
  <si>
    <t>OR2T5</t>
  </si>
  <si>
    <t>OR14A2_ENST00000366485</t>
  </si>
  <si>
    <t>OR14A2</t>
  </si>
  <si>
    <t>OR14I1_ENST00000342623</t>
  </si>
  <si>
    <t>OR14I1</t>
  </si>
  <si>
    <t>OR10H1_ENST00000334920</t>
  </si>
  <si>
    <t>OR10H1</t>
  </si>
  <si>
    <t>OR10H2_ENST00000305899</t>
  </si>
  <si>
    <t>OR10H2</t>
  </si>
  <si>
    <t>OR2T4_ENST00000621754</t>
  </si>
  <si>
    <t>OR2T4</t>
  </si>
  <si>
    <t>OR6B3_ENST00000641019</t>
  </si>
  <si>
    <t>OR6B3</t>
  </si>
  <si>
    <t>OR7C2_ENST00000248072</t>
  </si>
  <si>
    <t>OR7C2</t>
  </si>
  <si>
    <t>OR6B2_ENST00000319423</t>
  </si>
  <si>
    <t>OR6B2</t>
  </si>
  <si>
    <t>OR3A2_ENST00000573901</t>
  </si>
  <si>
    <t>OR3A2</t>
  </si>
  <si>
    <t>OR3A3_ENST00000641141</t>
  </si>
  <si>
    <t>OR3A3</t>
  </si>
  <si>
    <t>OR10A2_ENST00000641461</t>
  </si>
  <si>
    <t>OR10A2</t>
  </si>
  <si>
    <t>OR10A6_ENST00000642108</t>
  </si>
  <si>
    <t>OR10A6</t>
  </si>
  <si>
    <t>OR10C1_ENST00000444197</t>
  </si>
  <si>
    <t>OR10C1</t>
  </si>
  <si>
    <t>OR10G3_ENST00000641185</t>
  </si>
  <si>
    <t>OR10G3</t>
  </si>
  <si>
    <t>OR10H4_ENST00000322107</t>
  </si>
  <si>
    <t>OR10H4</t>
  </si>
  <si>
    <t>OR10J1_ENST00000641630</t>
  </si>
  <si>
    <t>OR10J1</t>
  </si>
  <si>
    <t>OR10K2_ENST00000641042</t>
  </si>
  <si>
    <t>OR10K2</t>
  </si>
  <si>
    <t>OR11H7_ENST00000708727</t>
  </si>
  <si>
    <t>OR11H7</t>
  </si>
  <si>
    <t>OR13F1_ENST00000334726</t>
  </si>
  <si>
    <t>OR13F1</t>
  </si>
  <si>
    <t>OR13G1_ENST00000642119</t>
  </si>
  <si>
    <t>OR13G1</t>
  </si>
  <si>
    <t>OR13H1_ENST00000338616</t>
  </si>
  <si>
    <t>OR13H1</t>
  </si>
  <si>
    <t>OR14A16_ENST00000641093</t>
  </si>
  <si>
    <t>OR14A16</t>
  </si>
  <si>
    <t>OR14L1P_ENST00000641545</t>
  </si>
  <si>
    <t>OR14L1P</t>
  </si>
  <si>
    <t>OR1D2_ENST00000641833</t>
  </si>
  <si>
    <t>OR1D2</t>
  </si>
  <si>
    <t>OR1L3_ENST00000304820</t>
  </si>
  <si>
    <t>OR1L3</t>
  </si>
  <si>
    <t>OR2A14_ENST00000408899</t>
  </si>
  <si>
    <t>OR2A14</t>
  </si>
  <si>
    <t>OR2AE1_ENST00000316368</t>
  </si>
  <si>
    <t>OR2AE1</t>
  </si>
  <si>
    <t>OR2AP1_ENST00000641114</t>
  </si>
  <si>
    <t>OR2AP1</t>
  </si>
  <si>
    <t>OR2B3_ENST00000383653</t>
  </si>
  <si>
    <t>OR2B3</t>
  </si>
  <si>
    <t>OR2B6_ENST00000244623</t>
  </si>
  <si>
    <t>OR2B6</t>
  </si>
  <si>
    <t>OR2D3_ENST00000317834</t>
  </si>
  <si>
    <t>OR2D3</t>
  </si>
  <si>
    <t>OR2L2_ENST00000366479</t>
  </si>
  <si>
    <t>OR2L2</t>
  </si>
  <si>
    <t>OR2L5_ENST00000355281</t>
  </si>
  <si>
    <t>OR2L5</t>
  </si>
  <si>
    <t>OR2T12_ENST00000641276</t>
  </si>
  <si>
    <t>OR2T12</t>
  </si>
  <si>
    <t>OR2T6_ENST00000641644</t>
  </si>
  <si>
    <t>OR2T6</t>
  </si>
  <si>
    <t>OR4A16_ENST00000314721</t>
  </si>
  <si>
    <t>OR4A16</t>
  </si>
  <si>
    <t>OR4A5_ENST00000319760</t>
  </si>
  <si>
    <t>OR4A5</t>
  </si>
  <si>
    <t>OR4C13_ENST00000555099</t>
  </si>
  <si>
    <t>OR4C13</t>
  </si>
  <si>
    <t>OR4C45_ENST00000710319</t>
  </si>
  <si>
    <t>OR4C45</t>
  </si>
  <si>
    <t>OR4E2_ENST00000641524</t>
  </si>
  <si>
    <t>OR4E2</t>
  </si>
  <si>
    <t>OR4F15_ENST00000332238</t>
  </si>
  <si>
    <t>OR4F15</t>
  </si>
  <si>
    <t>OR4F16_ENST00000332831</t>
  </si>
  <si>
    <t>OR4F16</t>
  </si>
  <si>
    <t>OR4K2_ENST00000298642</t>
  </si>
  <si>
    <t>OR4K2</t>
  </si>
  <si>
    <t>OR4S2_ENST00000641692</t>
  </si>
  <si>
    <t>OR4S2</t>
  </si>
  <si>
    <t>OR51A4_ENST00000641898</t>
  </si>
  <si>
    <t>OR51A4</t>
  </si>
  <si>
    <t>OR51D1_ENST00000357605</t>
  </si>
  <si>
    <t>OR51D1</t>
  </si>
  <si>
    <t>OR51E1_ENST00000396952</t>
  </si>
  <si>
    <t>OR51E1</t>
  </si>
  <si>
    <t>OR51F2_ENST00000641672</t>
  </si>
  <si>
    <t>OR51F2</t>
  </si>
  <si>
    <t>OR51I2_ENST00000641930</t>
  </si>
  <si>
    <t>OR51I2</t>
  </si>
  <si>
    <t>OR51M1_ENST00000328611</t>
  </si>
  <si>
    <t>OR51M1</t>
  </si>
  <si>
    <t>OR51S1_ENST00000322101</t>
  </si>
  <si>
    <t>OR51S1</t>
  </si>
  <si>
    <t>OR51V1_ENST00000641270</t>
  </si>
  <si>
    <t>OR51V1</t>
  </si>
  <si>
    <t>OR52A1_ENST00000380367</t>
  </si>
  <si>
    <t>OR52A1</t>
  </si>
  <si>
    <t>OR52E1_ENST00000710310</t>
  </si>
  <si>
    <t>OR52E1</t>
  </si>
  <si>
    <t>OR52E4_ENST00000641726</t>
  </si>
  <si>
    <t>OR52E4</t>
  </si>
  <si>
    <t>OR52E5_ENST00000610445</t>
  </si>
  <si>
    <t>OR52E5</t>
  </si>
  <si>
    <t>OR52K2_ENST00000325719</t>
  </si>
  <si>
    <t>OR52K2</t>
  </si>
  <si>
    <t>OR52N4_ENST00000641350</t>
  </si>
  <si>
    <t>OR52N4</t>
  </si>
  <si>
    <t>OR56B2P_ENST00000641377</t>
  </si>
  <si>
    <t>OR56B2P</t>
  </si>
  <si>
    <t>OR5AL1_ENST00000710330</t>
  </si>
  <si>
    <t>OR5AL1</t>
  </si>
  <si>
    <t>OR6C2_ENST00000641202</t>
  </si>
  <si>
    <t>OR6C2</t>
  </si>
  <si>
    <t>OR6C65_ENST00000379665</t>
  </si>
  <si>
    <t>OR6C65</t>
  </si>
  <si>
    <t>OR6N2_ENST00000641131</t>
  </si>
  <si>
    <t>OR6N2</t>
  </si>
  <si>
    <t>OR6P1_ENST00000641540</t>
  </si>
  <si>
    <t>OR6P1</t>
  </si>
  <si>
    <t>OR6Y1_ENST00000641622</t>
  </si>
  <si>
    <t>OR6Y1</t>
  </si>
  <si>
    <t>OR8B2_ENST00000641451</t>
  </si>
  <si>
    <t>OR8B2</t>
  </si>
  <si>
    <t>OR8B3_ENST00000641139</t>
  </si>
  <si>
    <t>OR8B3</t>
  </si>
  <si>
    <t>OR8D1_ENST00000357821</t>
  </si>
  <si>
    <t>OR8D1</t>
  </si>
  <si>
    <t>OR8D4_ENST00000321355</t>
  </si>
  <si>
    <t>OR8D4</t>
  </si>
  <si>
    <t>OR8J3_ENST00000642058</t>
  </si>
  <si>
    <t>OR8J3</t>
  </si>
  <si>
    <t>OR8K1_ENST00000279783</t>
  </si>
  <si>
    <t>OR8K1</t>
  </si>
  <si>
    <t>OR9I1_ENST00000641478</t>
  </si>
  <si>
    <t>OR9I1</t>
  </si>
  <si>
    <t>OR9K2_ENST00000641329</t>
  </si>
  <si>
    <t>OR9K2</t>
  </si>
  <si>
    <t>ADGRF1_ENST00000371253_SP_HA</t>
  </si>
  <si>
    <t>B</t>
  </si>
  <si>
    <t>ADGRF1</t>
  </si>
  <si>
    <t>ADGRE1_ENST00000312053_SP_HA</t>
  </si>
  <si>
    <t>ADGRE1</t>
  </si>
  <si>
    <t>ADGRF4_ENST00000283303_SP_HA</t>
  </si>
  <si>
    <t>ADGRF4</t>
  </si>
  <si>
    <t>PTH2R_ENST00000272847_SP_HA</t>
  </si>
  <si>
    <t>PTH2R</t>
  </si>
  <si>
    <t>VIPR1_ENST00000325123_SP_HA</t>
  </si>
  <si>
    <t>VIPR1</t>
  </si>
  <si>
    <t>ADGRG5_ENST00000340339_SP_HA</t>
  </si>
  <si>
    <t>ADGRG5</t>
  </si>
  <si>
    <t>CALCRL_ENST00000410068_SP_HA_UMI_BSMBI</t>
  </si>
  <si>
    <t>CALCRL</t>
  </si>
  <si>
    <t>ADGRD1_ENST00000261654_SP_HA</t>
  </si>
  <si>
    <t>ADGRD1</t>
  </si>
  <si>
    <t>SCTR_ENST00000019103_SP_HA</t>
  </si>
  <si>
    <t>SCTR</t>
  </si>
  <si>
    <t>GLP1R_ENST00000373256_SP_HA</t>
  </si>
  <si>
    <t>GLP1R</t>
  </si>
  <si>
    <t>GCGR_ENST00000400723_SP_HA</t>
  </si>
  <si>
    <t>GCGR</t>
  </si>
  <si>
    <t>ADGRG2_ENST00000379869_SP_HA</t>
  </si>
  <si>
    <t>ADGRG2</t>
  </si>
  <si>
    <t>GLP2R_ENST00000262441</t>
  </si>
  <si>
    <t>GLP2R</t>
  </si>
  <si>
    <t>GHRHR_ENST00000326139_SP_HA</t>
  </si>
  <si>
    <t>GHRHR</t>
  </si>
  <si>
    <t>GPR157_ENST00000377411</t>
  </si>
  <si>
    <t>GPR157</t>
  </si>
  <si>
    <t>PTH1R_ENST00000313049_SP_HA</t>
  </si>
  <si>
    <t>PTH1R</t>
  </si>
  <si>
    <t>VIPR2_ENST00000262178_SP_HA</t>
  </si>
  <si>
    <t>VIPR2</t>
  </si>
  <si>
    <t>CRHR1_ENST00000398285_SP_HA</t>
  </si>
  <si>
    <t>CRHR1</t>
  </si>
  <si>
    <t>ADGRD2_ENST00000706946_SP_HA</t>
  </si>
  <si>
    <t>ADGRD2</t>
  </si>
  <si>
    <t>ADGRA1_ENST00000392607</t>
  </si>
  <si>
    <t>ADGRA1</t>
  </si>
  <si>
    <t>ADGRG1_ENST00000565976_SP_HA</t>
  </si>
  <si>
    <t>ADGRG1</t>
  </si>
  <si>
    <t>ADCYAP1R1_ENST00000304166_SP_HA</t>
  </si>
  <si>
    <t>ADCYAP1R1</t>
  </si>
  <si>
    <t>ADGRE2_ENST00000315576_SP_HA</t>
  </si>
  <si>
    <t>ADGRE2</t>
  </si>
  <si>
    <t>CRHR2_ENST00000471646</t>
  </si>
  <si>
    <t>CRHR2</t>
  </si>
  <si>
    <t>ADGRG3_ENST00000333493_SP_HA</t>
  </si>
  <si>
    <t>ADGRG3</t>
  </si>
  <si>
    <t>GIPR_ENST00000590918_SP_HA</t>
  </si>
  <si>
    <t>GIPR</t>
  </si>
  <si>
    <t>ADGRE3_ENST00000253673_SP_HA</t>
  </si>
  <si>
    <t>ADGRE3</t>
  </si>
  <si>
    <t>ADGRE5_ENST00000242786_SP_HA</t>
  </si>
  <si>
    <t>ADGRE5</t>
  </si>
  <si>
    <t>ADGRL4_ENST00000370742_SP_HA</t>
  </si>
  <si>
    <t>ADGRL4</t>
  </si>
  <si>
    <t>CALCR_ENST00000394441_SP_HA</t>
  </si>
  <si>
    <t>CALCR</t>
  </si>
  <si>
    <t>GPRC5D_ENST00000228887</t>
  </si>
  <si>
    <t>C</t>
  </si>
  <si>
    <t>GPRC5D</t>
  </si>
  <si>
    <t>GRM2_ENST00000395052_SP_HA</t>
  </si>
  <si>
    <t>GRM2</t>
  </si>
  <si>
    <t>GPRC6A_ENST00000310357_SP_HA</t>
  </si>
  <si>
    <t>GPRC6A</t>
  </si>
  <si>
    <t>GRM7_ENST00000357716_SP_HA</t>
  </si>
  <si>
    <t>GRM7</t>
  </si>
  <si>
    <t>GRM3_ENST00000361669_SP_HA</t>
  </si>
  <si>
    <t>GRM3</t>
  </si>
  <si>
    <t>GRM8_ENST00000706917_SP_HA</t>
  </si>
  <si>
    <t>GRM8</t>
  </si>
  <si>
    <t>GRM4_ENST00000538487_SP_HA</t>
  </si>
  <si>
    <t>GRM4</t>
  </si>
  <si>
    <t>GPRC5A_ENST00000014914</t>
  </si>
  <si>
    <t>GPRC5A</t>
  </si>
  <si>
    <t>GPRC5C_ENST00000392629_SP_HA</t>
  </si>
  <si>
    <t>GPRC5C</t>
  </si>
  <si>
    <t>GPRC5B_ENST00000569847_SP_HA</t>
  </si>
  <si>
    <t>GPRC5B</t>
  </si>
  <si>
    <t>GABBR2_ENST00000259455_SP_HA</t>
  </si>
  <si>
    <t>GABBR2</t>
  </si>
  <si>
    <t>GABBR1_ENST00000706533_SP_HA</t>
  </si>
  <si>
    <t>GABBR1</t>
  </si>
  <si>
    <t>GPR156_ENST00000464295</t>
  </si>
  <si>
    <t>GPR156</t>
  </si>
  <si>
    <t>GRM6_ENST00000650031_SP_HA</t>
  </si>
  <si>
    <t>GRM6</t>
  </si>
  <si>
    <t>FZD1_ENST00000287934</t>
  </si>
  <si>
    <t>F</t>
  </si>
  <si>
    <t>FZD1</t>
  </si>
  <si>
    <t>FZD9_ENST00000344575_SP_HA</t>
  </si>
  <si>
    <t>FZD9</t>
  </si>
  <si>
    <t>SMO_ENST00000249373_SP_HA</t>
  </si>
  <si>
    <t>SMO</t>
  </si>
  <si>
    <t>FZD10_ENST00000229030_SP_HA_UMI_BSMBI</t>
  </si>
  <si>
    <t>FZD10</t>
  </si>
  <si>
    <t>FZD2_ENST00000315323_SP_HA</t>
  </si>
  <si>
    <t>FZD2</t>
  </si>
  <si>
    <t>FZD7_ENST00000286201_SP_HA</t>
  </si>
  <si>
    <t>FZD7</t>
  </si>
  <si>
    <t>FZD4_ENST00000531380_SP_HA</t>
  </si>
  <si>
    <t>FZD4</t>
  </si>
  <si>
    <t>FZD3_ENST00000240093_SP_HA</t>
  </si>
  <si>
    <t>FZD3</t>
  </si>
  <si>
    <t>FZD5_ENST00000295417_SP_HA</t>
  </si>
  <si>
    <t>FZD5</t>
  </si>
  <si>
    <t>FZD6_ENST00000358755_SP_HA</t>
  </si>
  <si>
    <t>FZD6</t>
  </si>
  <si>
    <t>FZD8_ENST00000374694_SP_HA</t>
  </si>
  <si>
    <t>FZD8</t>
  </si>
  <si>
    <t>TAS2R9_ENST00000240691</t>
  </si>
  <si>
    <t>Taste</t>
  </si>
  <si>
    <t>TAS2R9</t>
  </si>
  <si>
    <t>TAS2R19_ENST00000390673</t>
  </si>
  <si>
    <t>TAS2R19</t>
  </si>
  <si>
    <t>TAS2R43_ENST00000531678</t>
  </si>
  <si>
    <t>TAS2R43</t>
  </si>
  <si>
    <t>TAS2R30_ENST00000539585</t>
  </si>
  <si>
    <t>TAS2R30</t>
  </si>
  <si>
    <t>TAS2R39_ENST00000446620</t>
  </si>
  <si>
    <t>TAS2R39</t>
  </si>
  <si>
    <t>TAS2R31_ENST00000390675</t>
  </si>
  <si>
    <t>TAS2R31</t>
  </si>
  <si>
    <t>TAS2R50_ENST00000506868</t>
  </si>
  <si>
    <t>TAS2R50</t>
  </si>
  <si>
    <t>TAS2R16_ENST00000249284</t>
  </si>
  <si>
    <t>TAS2R16</t>
  </si>
  <si>
    <t>TAS2R8_ENST00000240615</t>
  </si>
  <si>
    <t>TAS2R8</t>
  </si>
  <si>
    <t>TAS2R10_ENST00000240619</t>
  </si>
  <si>
    <t>TAS2R10</t>
  </si>
  <si>
    <t>TAS2R60_ENST00000332690</t>
  </si>
  <si>
    <t>TAS2R60</t>
  </si>
  <si>
    <t>TAS2R40_ENST00000408947</t>
  </si>
  <si>
    <t>TAS2R40</t>
  </si>
  <si>
    <t>TAS1R1_ENST00000333172_SP_HA</t>
  </si>
  <si>
    <t>TAS1R1</t>
  </si>
  <si>
    <t>TAS2R13_ENST00000390677</t>
  </si>
  <si>
    <t>TAS2R13</t>
  </si>
  <si>
    <t>TAS2R1_ENST00000382492</t>
  </si>
  <si>
    <t>TAS2R1</t>
  </si>
  <si>
    <t>TAS2R7_ENST00000240687</t>
  </si>
  <si>
    <t>TAS2R7</t>
  </si>
  <si>
    <t>TAS1R2_ENST00000375371_SP_HA</t>
  </si>
  <si>
    <t>TAS1R2</t>
  </si>
  <si>
    <t>TAS2R42_ENST00000334266</t>
  </si>
  <si>
    <t>TAS2R42</t>
  </si>
  <si>
    <t>TAS2R38_ENST00000547270</t>
  </si>
  <si>
    <t>TAS2R38</t>
  </si>
  <si>
    <t>TAS2R41_ENST00000408916</t>
  </si>
  <si>
    <t>TAS2R41</t>
  </si>
  <si>
    <t>TAS2R3_ENST00000247879</t>
  </si>
  <si>
    <t>TAS2R3</t>
  </si>
  <si>
    <t>TAS1R3_ENST00000339381_SP_HA</t>
  </si>
  <si>
    <t>TAS1R3</t>
  </si>
  <si>
    <t>TAS2R5_ENST00000247883</t>
  </si>
  <si>
    <t>TAS2R5</t>
  </si>
  <si>
    <t>TAS2R14_ENST00000537503_UMI_BSMBI</t>
  </si>
  <si>
    <t>TAS2R14</t>
  </si>
  <si>
    <t>TAS2R20_ENST00000538986</t>
  </si>
  <si>
    <t>TAS2R20</t>
  </si>
  <si>
    <t>TAS2R4_ENST00000247881</t>
  </si>
  <si>
    <t>TAS2R4</t>
  </si>
  <si>
    <t>TAS2R46_ENST00000533467</t>
  </si>
  <si>
    <t>TAS2R46</t>
  </si>
  <si>
    <t>GPR143_ENST00000467482</t>
  </si>
  <si>
    <t>Unknown</t>
  </si>
  <si>
    <t>GPR143</t>
  </si>
  <si>
    <t>VN1R2_ENST00000341702</t>
  </si>
  <si>
    <t>Vomeronasal</t>
  </si>
  <si>
    <t>VN1R2</t>
  </si>
  <si>
    <t>VN1R4_ENST00000311170</t>
  </si>
  <si>
    <t>VN1R4</t>
  </si>
  <si>
    <t>VN1R1_ENST00000321039</t>
  </si>
  <si>
    <t>VN1R1</t>
  </si>
  <si>
    <t>VN1R5_ENST00000709096</t>
  </si>
  <si>
    <t>VN1R5</t>
  </si>
  <si>
    <t>Isoform Transcript</t>
  </si>
  <si>
    <t>Normalized Low GFP Enrichment</t>
  </si>
  <si>
    <t>Normalized High GFP Enrichment</t>
  </si>
  <si>
    <t>Normalized High GFP Enrichment STD</t>
  </si>
  <si>
    <t>Surface Expression</t>
  </si>
  <si>
    <t>Surface Expression Standard Deviation</t>
  </si>
  <si>
    <t>length (AA)</t>
  </si>
  <si>
    <t>Canonical Low GFP Enrichment</t>
  </si>
  <si>
    <t>Canonical High GFP Enrichment</t>
  </si>
  <si>
    <t>Canonical Surface Expression</t>
  </si>
  <si>
    <t>Canonical Surface Expression Standard Deviation</t>
  </si>
  <si>
    <t>canonical length</t>
  </si>
  <si>
    <t>length difference</t>
  </si>
  <si>
    <t>Difference in Isoform PME</t>
  </si>
  <si>
    <t>% change in PME</t>
  </si>
  <si>
    <t>ACKR1_ENST00000368121</t>
  </si>
  <si>
    <t>ACKR2_ENST00000492609</t>
  </si>
  <si>
    <t>ACKR2_ENST00000493193</t>
  </si>
  <si>
    <t>ACKR2_ENST00000494619</t>
  </si>
  <si>
    <t>ACKR2_ENST00000497921</t>
  </si>
  <si>
    <t>ACKR3_ENST00000447924</t>
  </si>
  <si>
    <t>ADCYAP1R1_ENST00000396211_SP_HA</t>
  </si>
  <si>
    <t>ADCYAP1R1_ENST00000409363_SP_HA</t>
  </si>
  <si>
    <t>ADGRA1_ENST00000392606</t>
  </si>
  <si>
    <t>ADGRD1_ENST00000535015_SP_HA</t>
  </si>
  <si>
    <t>ADGRE1_ENST00000250572_SP_HA</t>
  </si>
  <si>
    <t>ADGRE1_ENST00000381404_SP_HA</t>
  </si>
  <si>
    <t>ADGRE1_ENST00000381407_SP_HA</t>
  </si>
  <si>
    <t>ADGRE1_ENST00000450315_SP_HA</t>
  </si>
  <si>
    <t>ADGRE2_ENST00000392965_SP_HA</t>
  </si>
  <si>
    <t>ADGRE2_ENST00000601345_SP_HA</t>
  </si>
  <si>
    <t>ADGRE3_ENST00000344373_SP_HA</t>
  </si>
  <si>
    <t>ADGRE3_ENST00000443157_SP_HA</t>
  </si>
  <si>
    <t>ADGRE5_ENST00000357355_SP_HA</t>
  </si>
  <si>
    <t>ADGRE5_ENST00000358600_SP_HA</t>
  </si>
  <si>
    <t>ADGRG2_ENST00000356606_SP_HA</t>
  </si>
  <si>
    <t>ADGRG2_ENST00000357544_SP_HA</t>
  </si>
  <si>
    <t>ADGRG2_ENST00000357991_SP_HA</t>
  </si>
  <si>
    <t>ADGRG2_ENST00000360279_SP_HA</t>
  </si>
  <si>
    <t>ADGRG2_ENST00000379873_SP_HA</t>
  </si>
  <si>
    <t>ADGRG2_ENST00000379876_SP_HA</t>
  </si>
  <si>
    <t>ADGRG2_ENST00000379878_SP_HA</t>
  </si>
  <si>
    <t>ADORA1_ENST00000367235</t>
  </si>
  <si>
    <t>ADORA2A_ENST00000424232</t>
  </si>
  <si>
    <t>ADORA2A_ENST00000436735</t>
  </si>
  <si>
    <t>ADORA2A_ENST00000439591</t>
  </si>
  <si>
    <t>ADORA2A_ENST00000444262</t>
  </si>
  <si>
    <t>ADORA2A_ENST00000486108</t>
  </si>
  <si>
    <t>ADRA1A_ENST00000354550</t>
  </si>
  <si>
    <t>ADRA1A_ENST00000380582</t>
  </si>
  <si>
    <t>ADRA1A_ENST00000380586</t>
  </si>
  <si>
    <t>ADRA1A_ENST00000519229</t>
  </si>
  <si>
    <t>AVPR1A_ENST00000550940</t>
  </si>
  <si>
    <t>AVPR2_ENST00000370049</t>
  </si>
  <si>
    <t>AVPR2_ENST00000430697</t>
  </si>
  <si>
    <t>C3AR1_ENST00000546241</t>
  </si>
  <si>
    <t>CCKBR_ENST00000525014</t>
  </si>
  <si>
    <t>CCKBR_ENST00000525462</t>
  </si>
  <si>
    <t>CCKBR_ENST00000532715</t>
  </si>
  <si>
    <t>CCR10_ENST00000591568</t>
  </si>
  <si>
    <t>CCR10_ENST00000591765</t>
  </si>
  <si>
    <t>CCR2_ENST00000421659</t>
  </si>
  <si>
    <t>CCR2_ENST00000445132</t>
  </si>
  <si>
    <t>CCR3_ENST00000545097</t>
  </si>
  <si>
    <t>CCR7_ENST00000579344_SP_HA</t>
  </si>
  <si>
    <t>CCR9_ENST00000395963</t>
  </si>
  <si>
    <t>CCRL2_ENST00000357392</t>
  </si>
  <si>
    <t>CCRL2_ENST00000433848</t>
  </si>
  <si>
    <t>CHRM1_ENST00000536524</t>
  </si>
  <si>
    <t>CHRM3_ENST00000448020</t>
  </si>
  <si>
    <t>CMKLR1_ENST00000549466</t>
  </si>
  <si>
    <t>CMKLR1_ENST00000550573</t>
  </si>
  <si>
    <t>CMKLR2_ENST00000411719</t>
  </si>
  <si>
    <t>CMKLR2_ENST00000442134</t>
  </si>
  <si>
    <t>CMKLR2_ENST00000451790</t>
  </si>
  <si>
    <t>CNR1_ENST00000468898</t>
  </si>
  <si>
    <t>CRHR1_ENST00000352855_SP_HA</t>
  </si>
  <si>
    <t>CX3CR1_ENST00000358309</t>
  </si>
  <si>
    <t>CXCR2_ENST00000415392</t>
  </si>
  <si>
    <t>CXCR2_ENST00000428565</t>
  </si>
  <si>
    <t>CXCR2_ENST00000453237</t>
  </si>
  <si>
    <t>CXCR2_ENST00000454148</t>
  </si>
  <si>
    <t>CXCR3_ENST00000373691</t>
  </si>
  <si>
    <t>CXCR4_ENST00000409817</t>
  </si>
  <si>
    <t>DRD2_ENST00000346454</t>
  </si>
  <si>
    <t>DRD2_ENST00000543292</t>
  </si>
  <si>
    <t>DRD2_ENST00000544518</t>
  </si>
  <si>
    <t>EDNRA_ENST00000358556_SP_HA</t>
  </si>
  <si>
    <t>FPR1_ENST00000600815</t>
  </si>
  <si>
    <t>FPR2_ENST00000599326</t>
  </si>
  <si>
    <t>FPR2_ENST00000600258</t>
  </si>
  <si>
    <t>FPR2_ENST00000600722</t>
  </si>
  <si>
    <t>FSHR_ENST00000304421_SP_HA</t>
  </si>
  <si>
    <t>GABBR1_ENST00000377012_SP_HA</t>
  </si>
  <si>
    <t>GABBR1_ENST00000377016_SP_HA</t>
  </si>
  <si>
    <t>GCGR_ENST00000570996_SP_HA</t>
  </si>
  <si>
    <t>GHSR_ENST00000427970</t>
  </si>
  <si>
    <t>GIPR_ENST00000263281_SP_HA_UMI_BSMBI</t>
  </si>
  <si>
    <t>GLP2R_ENST00000304773</t>
  </si>
  <si>
    <t>GNRHR_ENST00000420975</t>
  </si>
  <si>
    <t>GPR132_ENST00000392585</t>
  </si>
  <si>
    <t>GPR141_ENST00000450180</t>
  </si>
  <si>
    <t>GPR143_ENST00000447366</t>
  </si>
  <si>
    <t>GPR146_ENST00000427680</t>
  </si>
  <si>
    <t>GPR146_ENST00000444847</t>
  </si>
  <si>
    <t>GPR156_ENST00000461057</t>
  </si>
  <si>
    <t>GPR160_ENST00000473675</t>
  </si>
  <si>
    <t>GPR160_ENST00000482710</t>
  </si>
  <si>
    <t>GPR160_ENST00000485735</t>
  </si>
  <si>
    <t>GPR160_ENST00000492492</t>
  </si>
  <si>
    <t>GPR161_ENST00000367836</t>
  </si>
  <si>
    <t>GPR161_ENST00000537209</t>
  </si>
  <si>
    <t>GPR161_ENST00000539777</t>
  </si>
  <si>
    <t>GPR161_ENST00000546300</t>
  </si>
  <si>
    <t>GPR17_ENST00000423019</t>
  </si>
  <si>
    <t>GPR171_ENST00000480322</t>
  </si>
  <si>
    <t>GPR173_ENST00000375466</t>
  </si>
  <si>
    <t>GPR176_ENST00000299092</t>
  </si>
  <si>
    <t>GPR176_ENST00000543580</t>
  </si>
  <si>
    <t>GPR6_ENST00000414000</t>
  </si>
  <si>
    <t>GPR68_ENST00000529102</t>
  </si>
  <si>
    <t>GPR83_ENST00000539203_SP_HA</t>
  </si>
  <si>
    <t>GPR85_ENST00000438062</t>
  </si>
  <si>
    <t>GPR85_ENST00000449735</t>
  </si>
  <si>
    <t>GPRC5A_ENST00000534831</t>
  </si>
  <si>
    <t>GPRC5B_ENST00000535671_SP_HA</t>
  </si>
  <si>
    <t>GPRC5B_ENST00000566822_SP_HA</t>
  </si>
  <si>
    <t>GPRC5B_ENST00000570142_SP_HA</t>
  </si>
  <si>
    <t>GPRC5D_ENST00000396333</t>
  </si>
  <si>
    <t>GRM2_ENST00000442933_SP_HA</t>
  </si>
  <si>
    <t>GRM7_ENST00000486284_SP_HA</t>
  </si>
  <si>
    <t>GRM8_ENST00000358373</t>
  </si>
  <si>
    <t>GRM8_ENST00000358373_SP_HA</t>
  </si>
  <si>
    <t>HRH2_ENST00000377291</t>
  </si>
  <si>
    <t>HRH3_ENST00000317393</t>
  </si>
  <si>
    <t>HTR1A_ENST00000506598</t>
  </si>
  <si>
    <t>HTR2A_ENST00000543956</t>
  </si>
  <si>
    <t>HTR4_ENST00000360693</t>
  </si>
  <si>
    <t>HTR4_ENST00000520514</t>
  </si>
  <si>
    <t>HTR7_ENST00000277874</t>
  </si>
  <si>
    <t>HTR7_ENST00000371719</t>
  </si>
  <si>
    <t>KISS1R_ENST00000592648</t>
  </si>
  <si>
    <t>KISS1R_ENST00000606939</t>
  </si>
  <si>
    <t>LGR4_ENST00000389858_SP_HA_UMI_BSMBI</t>
  </si>
  <si>
    <t>LGR5_ENST00000536515_SP_HA</t>
  </si>
  <si>
    <t>LGR5_ENST00000540815_SP_HA</t>
  </si>
  <si>
    <t>LHCGR_ENST00000405626_SP_HA</t>
  </si>
  <si>
    <t>LPAR1_ENST00000441240</t>
  </si>
  <si>
    <t>LPAR2_ENST00000588233</t>
  </si>
  <si>
    <t>LPAR2_ENST00000591042</t>
  </si>
  <si>
    <t>LTB4R_ENST00000556141</t>
  </si>
  <si>
    <t>MC1R_ENST00000555427</t>
  </si>
  <si>
    <t>MC2R_ENST00000399821</t>
  </si>
  <si>
    <t>MC5R_ENST00000589410</t>
  </si>
  <si>
    <t>NPFFR2_ENST00000358749</t>
  </si>
  <si>
    <t>NPY1R_ENST00000504391</t>
  </si>
  <si>
    <t>NPY1R_ENST00000504790</t>
  </si>
  <si>
    <t>NPY1R_ENST00000509586</t>
  </si>
  <si>
    <t>NPY1R_ENST00000515701</t>
  </si>
  <si>
    <t>OPN4_ENST00000372071</t>
  </si>
  <si>
    <t>OPN5_ENST00000393699</t>
  </si>
  <si>
    <t>OPN5_ENST00000489301</t>
  </si>
  <si>
    <t>OPRK1_ENST00000524278</t>
  </si>
  <si>
    <t>OPRM1_ENST00000229768</t>
  </si>
  <si>
    <t>OPRM1_ENST00000518759</t>
  </si>
  <si>
    <t>OPRM1_ENST00000522555</t>
  </si>
  <si>
    <t>OXGR1_ENST00000541038</t>
  </si>
  <si>
    <t>OXGR1_ENST00000541518</t>
  </si>
  <si>
    <t>OXTR_ENST00000431493</t>
  </si>
  <si>
    <t>P2RY14_ENST00000494668</t>
  </si>
  <si>
    <t>P2RY6_ENST00000535931</t>
  </si>
  <si>
    <t>P2RY6_ENST00000544437</t>
  </si>
  <si>
    <t>PTGDR_ENST00000553372</t>
  </si>
  <si>
    <t>PTGER2_ENST00000557436</t>
  </si>
  <si>
    <t>PTGER3_ENST00000370924</t>
  </si>
  <si>
    <t>PTGER3_ENST00000460330</t>
  </si>
  <si>
    <t>PTGFR_ENST00000370756</t>
  </si>
  <si>
    <t>PTH1R_ENST00000427125_SP_HA</t>
  </si>
  <si>
    <t>RXFP2_ENST00000380314</t>
  </si>
  <si>
    <t>RXFP2_ENST00000380314_SP_HA</t>
  </si>
  <si>
    <t>TACR1_ENST00000409848</t>
  </si>
  <si>
    <t>TACR2_ENST00000373307</t>
  </si>
  <si>
    <t>TAS1R1_ENST00000351136_SP_HA</t>
  </si>
  <si>
    <t>TAS2R1_ENST00000506620</t>
  </si>
  <si>
    <t>TAS2R1_ENST00000514078</t>
  </si>
  <si>
    <t>TBXA2R_ENST00000411851</t>
  </si>
  <si>
    <t>TBXA2R_ENST00000589966</t>
  </si>
  <si>
    <t>VIPR1_ENST00000439731_SP_HA</t>
  </si>
  <si>
    <t>VIPR2_ENST00000402066_SP_HA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</si>
</sst>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901DB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left"/>
    </xf>
    <xf numFmtId="0" fontId="0" fillId="0" borderId="0" xfId="0" applyAlignment="1">
      <alignment horizontal="center"/>
    </xf>
    <xf numFmtId="11" fontId="0" fillId="0" borderId="0" xfId="0" applyNumberFormat="1"/>
    <xf numFmtId="0" fontId="5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01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801DF-83A1-454D-940A-DBCEF9B86F7E}">
  <dimension ref="A1:AG769"/>
  <sheetViews>
    <sheetView tabSelected="1" workbookViewId="0">
      <selection activeCell="O11" sqref="O11"/>
    </sheetView>
  </sheetViews>
  <sheetFormatPr defaultRowHeight="15"/>
  <cols>
    <col min="1" max="1" width="61.5703125" style="1" customWidth="1"/>
    <col min="13" max="13" width="13.5703125" style="12" customWidth="1"/>
    <col min="14" max="14" width="17.42578125" style="9" customWidth="1"/>
    <col min="15" max="15" width="17.42578125" style="11" customWidth="1"/>
  </cols>
  <sheetData>
    <row r="1" spans="1:3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0" t="s">
        <v>28</v>
      </c>
      <c r="AD1" s="10"/>
      <c r="AE1" s="10"/>
      <c r="AF1" s="10"/>
      <c r="AG1" t="s">
        <v>29</v>
      </c>
    </row>
    <row r="2" spans="1:33">
      <c r="A2" s="1" t="s">
        <v>30</v>
      </c>
      <c r="B2">
        <v>948.89400757022941</v>
      </c>
      <c r="C2">
        <v>163.00346489010587</v>
      </c>
      <c r="D2">
        <v>18944.409766666668</v>
      </c>
      <c r="E2">
        <v>18945.31866666667</v>
      </c>
      <c r="F2">
        <v>0.90889999999975168</v>
      </c>
      <c r="G2">
        <v>0.49750000000000005</v>
      </c>
      <c r="H2">
        <v>5.0281856143306305</v>
      </c>
      <c r="I2">
        <v>39.431572674350811</v>
      </c>
      <c r="J2">
        <v>37.508207666915332</v>
      </c>
      <c r="K2">
        <v>0</v>
      </c>
      <c r="L2">
        <f t="shared" ref="L2:L65" si="0">LOG10(F2)</f>
        <v>-4.1483896577077579E-2</v>
      </c>
      <c r="M2" t="s">
        <v>31</v>
      </c>
      <c r="N2">
        <v>410</v>
      </c>
      <c r="O2">
        <v>6</v>
      </c>
      <c r="P2">
        <v>1233</v>
      </c>
      <c r="Q2">
        <v>122.189078434696</v>
      </c>
      <c r="R2">
        <v>154.21953456154</v>
      </c>
      <c r="S2" t="s">
        <v>32</v>
      </c>
      <c r="T2">
        <v>0</v>
      </c>
      <c r="U2">
        <v>0</v>
      </c>
      <c r="V2">
        <v>0</v>
      </c>
      <c r="W2">
        <v>32496.563999999998</v>
      </c>
      <c r="X2">
        <v>4.7457181799755799E-3</v>
      </c>
      <c r="Y2">
        <v>10.9187068939209</v>
      </c>
      <c r="Z2">
        <v>6.8826107978820801</v>
      </c>
      <c r="AA2">
        <f t="shared" ref="AA2:AA65" si="1">(F2-AVERAGE(F:F))/_xlfn.STDEV.P(F:F)</f>
        <v>-0.35518394611127035</v>
      </c>
      <c r="AB2">
        <f t="shared" ref="AB2:AB65" si="2">(H2-AVERAGE(H:H))/_xlfn.STDEV.P(H:H)</f>
        <v>-0.27606529873216151</v>
      </c>
      <c r="AC2" s="13">
        <f t="shared" ref="AC2:AC65" si="3">(Q2-AVERAGE(Q:Q))/_xlfn.STDEV.P(Q:Q)</f>
        <v>-0.3353643657960117</v>
      </c>
      <c r="AD2" s="13"/>
      <c r="AE2" s="13"/>
      <c r="AF2" s="13"/>
      <c r="AG2" t="s">
        <v>33</v>
      </c>
    </row>
    <row r="3" spans="1:33">
      <c r="A3" s="1" t="s">
        <v>34</v>
      </c>
      <c r="B3">
        <v>893.74468991677315</v>
      </c>
      <c r="C3">
        <v>240.65063208799339</v>
      </c>
      <c r="D3">
        <v>136.69638799999998</v>
      </c>
      <c r="E3">
        <v>142.462255</v>
      </c>
      <c r="F3">
        <v>5.7658670000000001</v>
      </c>
      <c r="G3">
        <v>0.69523809523809521</v>
      </c>
      <c r="H3">
        <v>0.7299689322602072</v>
      </c>
      <c r="I3">
        <v>35.184149973670031</v>
      </c>
      <c r="J3">
        <v>14.079051402615551</v>
      </c>
      <c r="K3">
        <v>0.99836112809708877</v>
      </c>
      <c r="L3">
        <f t="shared" si="0"/>
        <v>0.76086462039137215</v>
      </c>
      <c r="M3" t="s">
        <v>31</v>
      </c>
      <c r="N3">
        <v>395</v>
      </c>
      <c r="O3">
        <v>12</v>
      </c>
      <c r="P3">
        <v>1188</v>
      </c>
      <c r="Q3">
        <v>253.63490523565801</v>
      </c>
      <c r="R3">
        <v>320.12236719592403</v>
      </c>
      <c r="S3" t="s">
        <v>35</v>
      </c>
      <c r="T3">
        <v>0</v>
      </c>
      <c r="U3">
        <v>0</v>
      </c>
      <c r="V3">
        <v>0</v>
      </c>
      <c r="W3">
        <v>184.82916</v>
      </c>
      <c r="X3">
        <v>1.7319905971326399</v>
      </c>
      <c r="Y3">
        <v>10.564534187316889</v>
      </c>
      <c r="Z3">
        <v>10.03706645965576</v>
      </c>
      <c r="AA3">
        <f t="shared" si="1"/>
        <v>-0.35486347580767474</v>
      </c>
      <c r="AB3">
        <f t="shared" si="2"/>
        <v>-0.71862871053120736</v>
      </c>
      <c r="AC3" s="13">
        <f t="shared" si="3"/>
        <v>-0.20783096357307709</v>
      </c>
      <c r="AD3" s="13"/>
      <c r="AE3" s="13"/>
      <c r="AF3" s="13"/>
      <c r="AG3" t="s">
        <v>36</v>
      </c>
    </row>
    <row r="4" spans="1:33">
      <c r="A4" s="1" t="s">
        <v>37</v>
      </c>
      <c r="B4">
        <v>480.10618790826783</v>
      </c>
      <c r="C4">
        <v>80.308131441516053</v>
      </c>
      <c r="D4">
        <v>23.957774333333333</v>
      </c>
      <c r="E4">
        <v>44.088993333333327</v>
      </c>
      <c r="F4">
        <v>20.131218999999998</v>
      </c>
      <c r="G4">
        <v>0.61146051712089444</v>
      </c>
      <c r="H4">
        <v>0.74738324004849011</v>
      </c>
      <c r="I4">
        <v>23.681535702885707</v>
      </c>
      <c r="J4">
        <v>11.074624450396415</v>
      </c>
      <c r="K4">
        <v>0.99760885714077796</v>
      </c>
      <c r="L4">
        <f t="shared" si="0"/>
        <v>1.3038700733955924</v>
      </c>
      <c r="M4" t="s">
        <v>31</v>
      </c>
      <c r="N4">
        <v>487</v>
      </c>
      <c r="O4">
        <v>0</v>
      </c>
      <c r="P4">
        <v>1464</v>
      </c>
      <c r="Q4">
        <v>0</v>
      </c>
      <c r="R4">
        <v>0</v>
      </c>
      <c r="S4" t="s">
        <v>38</v>
      </c>
      <c r="T4">
        <v>0</v>
      </c>
      <c r="U4">
        <v>0</v>
      </c>
      <c r="W4">
        <v>0</v>
      </c>
      <c r="AA4">
        <f t="shared" si="1"/>
        <v>-0.35391562734242937</v>
      </c>
      <c r="AB4">
        <f t="shared" si="2"/>
        <v>-0.71683565633246249</v>
      </c>
      <c r="AC4" s="13">
        <f t="shared" si="3"/>
        <v>-0.45391654251028785</v>
      </c>
      <c r="AD4" s="13"/>
      <c r="AE4" s="13"/>
      <c r="AF4" s="13"/>
      <c r="AG4" t="s">
        <v>39</v>
      </c>
    </row>
    <row r="5" spans="1:33">
      <c r="A5" s="1" t="s">
        <v>40</v>
      </c>
      <c r="B5">
        <v>390.87571331376029</v>
      </c>
      <c r="C5">
        <v>98.805208329606273</v>
      </c>
      <c r="D5">
        <v>2440.5911999999998</v>
      </c>
      <c r="E5">
        <v>2465.0493333333334</v>
      </c>
      <c r="F5">
        <v>24.458133333333535</v>
      </c>
      <c r="G5">
        <v>0.50046948356807519</v>
      </c>
      <c r="H5">
        <v>1.9467973190918688</v>
      </c>
      <c r="I5">
        <v>8.2931007717226571E-2</v>
      </c>
      <c r="J5">
        <v>2.075429842763523E-2</v>
      </c>
      <c r="K5">
        <v>5.4461287615191962E-123</v>
      </c>
      <c r="L5">
        <f t="shared" si="0"/>
        <v>1.3884233082207884</v>
      </c>
      <c r="M5" t="s">
        <v>31</v>
      </c>
      <c r="N5">
        <v>365</v>
      </c>
      <c r="O5">
        <v>12</v>
      </c>
      <c r="P5">
        <v>1098</v>
      </c>
      <c r="Q5">
        <v>274.42465156645</v>
      </c>
      <c r="R5">
        <v>346.36190549067197</v>
      </c>
      <c r="S5" t="s">
        <v>41</v>
      </c>
      <c r="T5">
        <v>0</v>
      </c>
      <c r="U5">
        <v>0</v>
      </c>
      <c r="V5">
        <v>0</v>
      </c>
      <c r="W5">
        <v>5038.7870000000003</v>
      </c>
      <c r="X5">
        <v>6.8739144061987903E-2</v>
      </c>
      <c r="Y5">
        <v>11.42034339904785</v>
      </c>
      <c r="Z5">
        <v>8.5474920272827148</v>
      </c>
      <c r="AA5">
        <f t="shared" si="1"/>
        <v>-0.35363013074547173</v>
      </c>
      <c r="AB5">
        <f t="shared" si="2"/>
        <v>-0.59333867462014067</v>
      </c>
      <c r="AC5" s="13">
        <f t="shared" si="3"/>
        <v>-0.18766001447986275</v>
      </c>
      <c r="AD5" s="13"/>
      <c r="AE5" s="13"/>
      <c r="AF5" s="13"/>
    </row>
    <row r="6" spans="1:33">
      <c r="A6" s="1" t="s">
        <v>42</v>
      </c>
      <c r="B6">
        <v>976.41186469939441</v>
      </c>
      <c r="C6">
        <v>223.81528069279332</v>
      </c>
      <c r="D6">
        <v>0</v>
      </c>
      <c r="E6">
        <v>30.904415</v>
      </c>
      <c r="F6">
        <v>30.904415</v>
      </c>
      <c r="G6">
        <v>0.5</v>
      </c>
      <c r="H6">
        <v>20.155052449480618</v>
      </c>
      <c r="I6">
        <v>21.856598630976922</v>
      </c>
      <c r="J6">
        <v>4.1589624937918943</v>
      </c>
      <c r="K6">
        <v>0</v>
      </c>
      <c r="L6">
        <f t="shared" si="0"/>
        <v>1.4900205271002593</v>
      </c>
      <c r="M6" t="s">
        <v>31</v>
      </c>
      <c r="N6">
        <v>388</v>
      </c>
      <c r="O6">
        <v>42</v>
      </c>
      <c r="P6">
        <v>1167</v>
      </c>
      <c r="Q6">
        <v>903.69660323039204</v>
      </c>
      <c r="R6">
        <v>1140.5902337623399</v>
      </c>
      <c r="S6" t="s">
        <v>43</v>
      </c>
      <c r="T6">
        <v>0</v>
      </c>
      <c r="U6">
        <v>0</v>
      </c>
      <c r="V6">
        <v>0</v>
      </c>
      <c r="W6">
        <v>45.496662000000001</v>
      </c>
      <c r="X6">
        <v>25.069756408994099</v>
      </c>
      <c r="Y6">
        <v>11.52821254730225</v>
      </c>
      <c r="Z6">
        <v>7.7893795967102051</v>
      </c>
      <c r="AA6">
        <f t="shared" si="1"/>
        <v>-0.35320479496641888</v>
      </c>
      <c r="AB6">
        <f t="shared" si="2"/>
        <v>1.2814638561658807</v>
      </c>
      <c r="AC6" s="13">
        <f t="shared" si="3"/>
        <v>0.42288194696779602</v>
      </c>
      <c r="AD6" s="13"/>
      <c r="AE6" s="13"/>
      <c r="AF6" s="13"/>
    </row>
    <row r="7" spans="1:33">
      <c r="A7" s="1" t="s">
        <v>44</v>
      </c>
      <c r="B7">
        <v>1099.2023947754435</v>
      </c>
      <c r="C7">
        <v>181.29695496552733</v>
      </c>
      <c r="D7">
        <v>479.02924333333334</v>
      </c>
      <c r="E7">
        <v>539.39413333333334</v>
      </c>
      <c r="F7">
        <v>60.364890000000024</v>
      </c>
      <c r="G7">
        <v>0.65677546983184976</v>
      </c>
      <c r="H7">
        <v>1.4129322615255715</v>
      </c>
      <c r="I7">
        <v>32.944429428324462</v>
      </c>
      <c r="J7">
        <v>13.307800894820263</v>
      </c>
      <c r="K7">
        <v>6.3369997553117288E-10</v>
      </c>
      <c r="L7">
        <f t="shared" si="0"/>
        <v>1.7807844135753306</v>
      </c>
      <c r="M7" t="s">
        <v>31</v>
      </c>
      <c r="N7">
        <v>347</v>
      </c>
      <c r="O7">
        <v>3</v>
      </c>
      <c r="P7">
        <v>1044</v>
      </c>
      <c r="Q7">
        <v>72.154757523937306</v>
      </c>
      <c r="R7">
        <v>91.069294116081807</v>
      </c>
      <c r="S7" t="s">
        <v>45</v>
      </c>
      <c r="T7">
        <v>0</v>
      </c>
      <c r="U7">
        <v>0</v>
      </c>
      <c r="V7">
        <v>0</v>
      </c>
      <c r="W7">
        <v>787.66700000000003</v>
      </c>
      <c r="X7">
        <v>0.115619029508766</v>
      </c>
      <c r="Y7">
        <v>8.459808349609375</v>
      </c>
      <c r="Z7">
        <v>12.124460220336911</v>
      </c>
      <c r="AA7">
        <f t="shared" si="1"/>
        <v>-0.35126094660028423</v>
      </c>
      <c r="AB7">
        <f t="shared" si="2"/>
        <v>-0.64830778362351116</v>
      </c>
      <c r="AC7" s="13">
        <f t="shared" si="3"/>
        <v>-0.38390943815746059</v>
      </c>
      <c r="AD7" s="13"/>
      <c r="AE7" s="13"/>
      <c r="AF7" s="13"/>
    </row>
    <row r="8" spans="1:33">
      <c r="A8" s="1" t="s">
        <v>46</v>
      </c>
      <c r="B8">
        <v>720.12792393052621</v>
      </c>
      <c r="C8">
        <v>62.427201396887924</v>
      </c>
      <c r="D8">
        <v>778.36147333333338</v>
      </c>
      <c r="E8">
        <v>852.45194666666669</v>
      </c>
      <c r="F8">
        <v>74.090473333333264</v>
      </c>
      <c r="G8">
        <v>0.36417910447761193</v>
      </c>
      <c r="H8">
        <v>19.790831225263478</v>
      </c>
      <c r="I8">
        <v>11.505523659580261</v>
      </c>
      <c r="J8">
        <v>3.993653721848188</v>
      </c>
      <c r="K8">
        <v>0</v>
      </c>
      <c r="L8">
        <f t="shared" si="0"/>
        <v>1.8697623693187593</v>
      </c>
      <c r="M8" t="s">
        <v>31</v>
      </c>
      <c r="N8">
        <v>345</v>
      </c>
      <c r="O8">
        <v>10</v>
      </c>
      <c r="P8">
        <v>1038</v>
      </c>
      <c r="Q8">
        <v>241.906123490656</v>
      </c>
      <c r="R8">
        <v>305.31902073599701</v>
      </c>
      <c r="S8" t="s">
        <v>47</v>
      </c>
      <c r="T8">
        <v>2</v>
      </c>
      <c r="U8">
        <v>244.887963756581</v>
      </c>
      <c r="V8">
        <v>0.97526631566058497</v>
      </c>
      <c r="W8">
        <v>1646.403</v>
      </c>
      <c r="X8">
        <v>0.18544610325418301</v>
      </c>
      <c r="Y8">
        <v>9.0701141357421875</v>
      </c>
      <c r="Z8">
        <v>11.30189037322998</v>
      </c>
      <c r="AA8">
        <f t="shared" si="1"/>
        <v>-0.35035531107550921</v>
      </c>
      <c r="AB8">
        <f t="shared" si="2"/>
        <v>1.2439620270208878</v>
      </c>
      <c r="AC8" s="13">
        <f t="shared" si="3"/>
        <v>-0.21921064352393124</v>
      </c>
      <c r="AD8" s="13"/>
      <c r="AE8" s="13"/>
      <c r="AF8" s="13"/>
    </row>
    <row r="9" spans="1:33">
      <c r="A9" s="1" t="s">
        <v>48</v>
      </c>
      <c r="B9">
        <v>3008.8769214353147</v>
      </c>
      <c r="C9">
        <v>804.32227727745658</v>
      </c>
      <c r="D9">
        <v>1320.1999333333333</v>
      </c>
      <c r="E9">
        <v>1411.4691333333333</v>
      </c>
      <c r="F9">
        <v>91.269200000000026</v>
      </c>
      <c r="G9">
        <v>0.5193578847969782</v>
      </c>
      <c r="H9">
        <v>1.1221111041392355</v>
      </c>
      <c r="I9">
        <v>15.645256242320073</v>
      </c>
      <c r="J9">
        <v>6.2752273252121542</v>
      </c>
      <c r="K9">
        <v>0.78354578155952515</v>
      </c>
      <c r="L9">
        <f t="shared" si="0"/>
        <v>1.9603242438345345</v>
      </c>
      <c r="M9" t="s">
        <v>31</v>
      </c>
      <c r="N9">
        <v>363</v>
      </c>
      <c r="O9">
        <v>3</v>
      </c>
      <c r="P9">
        <v>1092</v>
      </c>
      <c r="Q9">
        <v>68.983119830577394</v>
      </c>
      <c r="R9">
        <v>87.066248220869497</v>
      </c>
      <c r="S9" t="s">
        <v>49</v>
      </c>
      <c r="T9">
        <v>0</v>
      </c>
      <c r="U9">
        <v>0</v>
      </c>
      <c r="V9">
        <v>0</v>
      </c>
      <c r="W9">
        <v>3378.0803000000001</v>
      </c>
      <c r="X9">
        <v>2.5773883534050201E-2</v>
      </c>
      <c r="Y9">
        <v>9.8811244964599609</v>
      </c>
      <c r="Z9">
        <v>9.6312484741210938</v>
      </c>
      <c r="AA9">
        <f t="shared" si="1"/>
        <v>-0.34922183173536708</v>
      </c>
      <c r="AB9">
        <f t="shared" si="2"/>
        <v>-0.678252017047836</v>
      </c>
      <c r="AC9" s="13">
        <f t="shared" si="3"/>
        <v>-0.38698667351362881</v>
      </c>
      <c r="AD9" s="13"/>
      <c r="AE9" s="13"/>
      <c r="AF9" s="13"/>
    </row>
    <row r="10" spans="1:33">
      <c r="A10" s="1" t="s">
        <v>50</v>
      </c>
      <c r="B10">
        <v>673.02649990363955</v>
      </c>
      <c r="C10">
        <v>125.99331500905294</v>
      </c>
      <c r="D10">
        <v>1574.9579766666666</v>
      </c>
      <c r="E10">
        <v>1670.4704000000002</v>
      </c>
      <c r="F10">
        <v>95.512423333333274</v>
      </c>
      <c r="G10">
        <v>0.45558739255014324</v>
      </c>
      <c r="H10">
        <v>7.3152708471196952</v>
      </c>
      <c r="I10">
        <v>1.3408870660926826</v>
      </c>
      <c r="J10">
        <v>0.26468490515616222</v>
      </c>
      <c r="K10">
        <v>0</v>
      </c>
      <c r="L10">
        <f t="shared" si="0"/>
        <v>1.9800598640885472</v>
      </c>
      <c r="M10" t="s">
        <v>31</v>
      </c>
      <c r="N10">
        <v>359</v>
      </c>
      <c r="O10">
        <v>65</v>
      </c>
      <c r="P10">
        <v>1080</v>
      </c>
      <c r="Q10">
        <v>1511.2413103624599</v>
      </c>
      <c r="R10">
        <v>1907.39577120904</v>
      </c>
      <c r="S10" t="s">
        <v>51</v>
      </c>
      <c r="T10">
        <v>1</v>
      </c>
      <c r="U10">
        <v>122.44398187829</v>
      </c>
      <c r="V10">
        <v>7.5020485820045002E-2</v>
      </c>
      <c r="W10">
        <v>3188.3984</v>
      </c>
      <c r="X10">
        <v>0.59823006159112602</v>
      </c>
      <c r="Y10">
        <v>11.673202514648439</v>
      </c>
      <c r="Z10">
        <v>7.953618049621582</v>
      </c>
      <c r="AA10">
        <f t="shared" si="1"/>
        <v>-0.34894185720190674</v>
      </c>
      <c r="AB10">
        <f t="shared" si="2"/>
        <v>-4.0576881426316699E-2</v>
      </c>
      <c r="AC10" s="13">
        <f t="shared" si="3"/>
        <v>1.012343365323924</v>
      </c>
      <c r="AD10" s="13"/>
      <c r="AE10" s="13"/>
      <c r="AF10" s="13"/>
    </row>
    <row r="11" spans="1:33">
      <c r="A11" s="1" t="s">
        <v>52</v>
      </c>
      <c r="B11">
        <v>1842.611314423498</v>
      </c>
      <c r="C11">
        <v>355.04708468684441</v>
      </c>
      <c r="D11">
        <v>189.73933333333332</v>
      </c>
      <c r="E11">
        <v>311.22332666666665</v>
      </c>
      <c r="F11">
        <v>121.48399333333333</v>
      </c>
      <c r="G11">
        <v>0.67584940312213049</v>
      </c>
      <c r="H11">
        <v>1.0182425230611301</v>
      </c>
      <c r="I11">
        <v>21.352657756630148</v>
      </c>
      <c r="J11">
        <v>2.5583889990549853</v>
      </c>
      <c r="K11">
        <v>0.42721086364610938</v>
      </c>
      <c r="L11">
        <f t="shared" si="0"/>
        <v>2.0845190592927101</v>
      </c>
      <c r="M11" t="s">
        <v>31</v>
      </c>
      <c r="N11">
        <v>373</v>
      </c>
      <c r="O11">
        <v>4</v>
      </c>
      <c r="P11">
        <v>1122</v>
      </c>
      <c r="Q11">
        <v>89.518201847879396</v>
      </c>
      <c r="R11">
        <v>112.984364892679</v>
      </c>
      <c r="S11" t="s">
        <v>53</v>
      </c>
      <c r="T11">
        <v>1</v>
      </c>
      <c r="U11">
        <v>122.44398187829</v>
      </c>
      <c r="V11">
        <v>1.2190828945757299</v>
      </c>
      <c r="W11">
        <v>502.73815999999999</v>
      </c>
      <c r="X11">
        <v>0.22473799262160399</v>
      </c>
      <c r="Y11">
        <v>10.832377433776861</v>
      </c>
      <c r="Z11">
        <v>9.3545598983764648</v>
      </c>
      <c r="AA11">
        <f t="shared" si="1"/>
        <v>-0.34722821226201861</v>
      </c>
      <c r="AB11">
        <f t="shared" si="2"/>
        <v>-0.68894678583704216</v>
      </c>
      <c r="AC11" s="13">
        <f t="shared" si="3"/>
        <v>-0.36706280876774283</v>
      </c>
      <c r="AD11" s="13"/>
      <c r="AE11" s="13"/>
      <c r="AF11" s="13"/>
    </row>
    <row r="12" spans="1:33">
      <c r="A12" s="1" t="s">
        <v>54</v>
      </c>
      <c r="B12">
        <v>5672.8143313108312</v>
      </c>
      <c r="C12">
        <v>436.76728336840449</v>
      </c>
      <c r="D12">
        <v>44.738050666666673</v>
      </c>
      <c r="E12">
        <v>176.88089333333335</v>
      </c>
      <c r="F12">
        <v>132.14284266666667</v>
      </c>
      <c r="G12">
        <v>0.59873617693522907</v>
      </c>
      <c r="H12">
        <v>0.61518171775388353</v>
      </c>
      <c r="I12">
        <v>1.0429227653561151</v>
      </c>
      <c r="J12">
        <v>0.19131263166558404</v>
      </c>
      <c r="K12">
        <v>0.99999750680182531</v>
      </c>
      <c r="L12">
        <f t="shared" si="0"/>
        <v>2.1210436451480081</v>
      </c>
      <c r="M12" t="s">
        <v>31</v>
      </c>
      <c r="N12">
        <v>432</v>
      </c>
      <c r="O12">
        <v>97</v>
      </c>
      <c r="P12">
        <v>1299</v>
      </c>
      <c r="Q12">
        <v>1875.0238606451301</v>
      </c>
      <c r="R12">
        <v>2366.5397168456202</v>
      </c>
      <c r="S12" t="s">
        <v>55</v>
      </c>
      <c r="T12">
        <v>0</v>
      </c>
      <c r="U12">
        <v>0</v>
      </c>
      <c r="V12">
        <v>0</v>
      </c>
      <c r="W12">
        <v>0</v>
      </c>
      <c r="X12" t="s">
        <v>56</v>
      </c>
      <c r="Y12">
        <v>9.5766706466674805</v>
      </c>
      <c r="Z12">
        <v>7.3234949111938477</v>
      </c>
      <c r="AA12">
        <f t="shared" si="1"/>
        <v>-0.34652492465849299</v>
      </c>
      <c r="AB12">
        <f t="shared" si="2"/>
        <v>-0.73044771013975129</v>
      </c>
      <c r="AC12" s="13">
        <f t="shared" si="3"/>
        <v>1.3652980953142195</v>
      </c>
      <c r="AD12" s="13"/>
      <c r="AE12" s="13"/>
      <c r="AF12" s="13"/>
    </row>
    <row r="13" spans="1:33">
      <c r="A13" s="1" t="s">
        <v>57</v>
      </c>
      <c r="B13">
        <v>454.5196232807404</v>
      </c>
      <c r="C13">
        <v>48.693320095076771</v>
      </c>
      <c r="D13">
        <v>706.91901333333328</v>
      </c>
      <c r="E13">
        <v>864.53507666666667</v>
      </c>
      <c r="F13">
        <v>157.61606333333336</v>
      </c>
      <c r="G13">
        <v>0.39289446185997912</v>
      </c>
      <c r="H13">
        <v>0.75295200921519745</v>
      </c>
      <c r="I13">
        <v>24.703527426431773</v>
      </c>
      <c r="J13">
        <v>14.895658016248502</v>
      </c>
      <c r="K13">
        <v>1</v>
      </c>
      <c r="L13">
        <f t="shared" si="0"/>
        <v>2.1976004762342938</v>
      </c>
      <c r="M13" t="s">
        <v>31</v>
      </c>
      <c r="N13">
        <v>329</v>
      </c>
      <c r="O13">
        <v>13</v>
      </c>
      <c r="P13">
        <v>990</v>
      </c>
      <c r="Q13">
        <v>329.725376806356</v>
      </c>
      <c r="R13">
        <v>416.15907735470103</v>
      </c>
      <c r="S13" t="s">
        <v>58</v>
      </c>
      <c r="T13">
        <v>1</v>
      </c>
      <c r="U13">
        <v>122.44398187829</v>
      </c>
      <c r="V13">
        <v>0.37510242910022501</v>
      </c>
      <c r="W13">
        <v>1114.1061999999999</v>
      </c>
      <c r="X13">
        <v>0.37353627271323098</v>
      </c>
      <c r="Y13">
        <v>13.453081130981451</v>
      </c>
      <c r="Z13">
        <v>11.465664863586429</v>
      </c>
      <c r="AA13">
        <f t="shared" si="1"/>
        <v>-0.34484416158956466</v>
      </c>
      <c r="AB13">
        <f t="shared" si="2"/>
        <v>-0.71626227121388075</v>
      </c>
      <c r="AC13" s="13">
        <f t="shared" si="3"/>
        <v>-0.13400528989191329</v>
      </c>
      <c r="AD13" s="13"/>
      <c r="AE13" s="13"/>
      <c r="AF13" s="13"/>
    </row>
    <row r="14" spans="1:33">
      <c r="A14" s="1" t="s">
        <v>59</v>
      </c>
      <c r="B14">
        <v>5037.5207258832415</v>
      </c>
      <c r="C14">
        <v>327.41115272241319</v>
      </c>
      <c r="D14">
        <v>168.38003799999998</v>
      </c>
      <c r="E14">
        <v>349.80494666666664</v>
      </c>
      <c r="F14">
        <v>181.42490866666671</v>
      </c>
      <c r="G14">
        <v>0.53435897435897439</v>
      </c>
      <c r="H14">
        <v>0.36159103484967448</v>
      </c>
      <c r="I14">
        <v>2.8665929262229444</v>
      </c>
      <c r="J14">
        <v>1.2773143803749523</v>
      </c>
      <c r="K14">
        <v>1</v>
      </c>
      <c r="L14">
        <f t="shared" si="0"/>
        <v>2.2586969131201355</v>
      </c>
      <c r="M14" t="s">
        <v>31</v>
      </c>
      <c r="N14">
        <v>335</v>
      </c>
      <c r="O14">
        <v>22</v>
      </c>
      <c r="P14">
        <v>1008</v>
      </c>
      <c r="Q14">
        <v>548.03256309847598</v>
      </c>
      <c r="R14">
        <v>691.69297197690696</v>
      </c>
      <c r="S14" t="s">
        <v>60</v>
      </c>
      <c r="T14">
        <v>0</v>
      </c>
      <c r="U14">
        <v>0</v>
      </c>
      <c r="V14">
        <v>0</v>
      </c>
      <c r="W14">
        <v>625.57830000000001</v>
      </c>
      <c r="X14">
        <v>1.1056856863112201</v>
      </c>
      <c r="Y14">
        <v>8.5834321975708008</v>
      </c>
      <c r="Z14">
        <v>12.100227355957029</v>
      </c>
      <c r="AA14">
        <f t="shared" si="1"/>
        <v>-0.34327321661665594</v>
      </c>
      <c r="AB14">
        <f t="shared" si="2"/>
        <v>-0.75655852914398924</v>
      </c>
      <c r="AC14" s="13">
        <f t="shared" si="3"/>
        <v>7.7804083407614605E-2</v>
      </c>
      <c r="AD14" s="13"/>
      <c r="AE14" s="13"/>
      <c r="AF14" s="13"/>
    </row>
    <row r="15" spans="1:33">
      <c r="A15" s="1" t="s">
        <v>61</v>
      </c>
      <c r="B15">
        <v>967.05369494845399</v>
      </c>
      <c r="C15">
        <v>64.76760500704647</v>
      </c>
      <c r="D15">
        <v>2967.4729000000002</v>
      </c>
      <c r="E15">
        <v>3169.318233333333</v>
      </c>
      <c r="F15">
        <v>201.8453333333332</v>
      </c>
      <c r="G15">
        <v>0.50097465886939574</v>
      </c>
      <c r="H15">
        <v>0.13996863334704832</v>
      </c>
      <c r="I15">
        <v>2.3989831179919547</v>
      </c>
      <c r="J15">
        <v>0.16695077150534182</v>
      </c>
      <c r="K15">
        <v>1</v>
      </c>
      <c r="L15">
        <f t="shared" si="0"/>
        <v>2.305018712968474</v>
      </c>
      <c r="M15" t="s">
        <v>31</v>
      </c>
      <c r="N15">
        <v>352</v>
      </c>
      <c r="O15">
        <v>11</v>
      </c>
      <c r="P15">
        <v>1059</v>
      </c>
      <c r="Q15">
        <v>260.82003002986897</v>
      </c>
      <c r="R15">
        <v>329.19098949609202</v>
      </c>
      <c r="S15" t="s">
        <v>62</v>
      </c>
      <c r="T15">
        <v>4</v>
      </c>
      <c r="U15">
        <v>489.775927513162</v>
      </c>
      <c r="V15">
        <v>1.77321148301924</v>
      </c>
      <c r="W15">
        <v>3367.3389999999999</v>
      </c>
      <c r="X15">
        <v>9.77599788723654E-2</v>
      </c>
      <c r="Y15">
        <v>11.581501960754389</v>
      </c>
      <c r="Z15">
        <v>8.9089412689208984</v>
      </c>
      <c r="AA15">
        <f t="shared" si="1"/>
        <v>-0.34192584495601319</v>
      </c>
      <c r="AB15">
        <f t="shared" si="2"/>
        <v>-0.77937775241610552</v>
      </c>
      <c r="AC15" s="13">
        <f t="shared" si="3"/>
        <v>-0.20085970071366632</v>
      </c>
      <c r="AD15" s="13"/>
      <c r="AE15" s="13"/>
      <c r="AF15" s="13"/>
    </row>
    <row r="16" spans="1:33">
      <c r="A16" s="1" t="s">
        <v>63</v>
      </c>
      <c r="B16">
        <v>1490.9078813813239</v>
      </c>
      <c r="C16">
        <v>321.46442910176671</v>
      </c>
      <c r="D16">
        <v>1498.6810133333331</v>
      </c>
      <c r="E16">
        <v>1708.62582</v>
      </c>
      <c r="F16">
        <v>209.94480666666686</v>
      </c>
      <c r="G16">
        <v>0.50131233595800528</v>
      </c>
      <c r="H16">
        <v>6.3404968770868164</v>
      </c>
      <c r="I16">
        <v>22.695848831780481</v>
      </c>
      <c r="J16">
        <v>13.22011887670215</v>
      </c>
      <c r="K16">
        <v>0</v>
      </c>
      <c r="L16">
        <f t="shared" si="0"/>
        <v>2.3221051361118246</v>
      </c>
      <c r="M16" t="s">
        <v>31</v>
      </c>
      <c r="N16">
        <v>391</v>
      </c>
      <c r="O16">
        <v>4</v>
      </c>
      <c r="P16">
        <v>1176</v>
      </c>
      <c r="Q16">
        <v>85.407672171191095</v>
      </c>
      <c r="R16">
        <v>107.796307321076</v>
      </c>
      <c r="S16" t="s">
        <v>64</v>
      </c>
      <c r="T16">
        <v>0</v>
      </c>
      <c r="U16">
        <v>0</v>
      </c>
      <c r="V16">
        <v>0</v>
      </c>
      <c r="W16">
        <v>2380.0327000000002</v>
      </c>
      <c r="X16">
        <v>4.5291943812820902E-2</v>
      </c>
      <c r="Y16">
        <v>11.688742637634279</v>
      </c>
      <c r="Z16">
        <v>7.6808018684387207</v>
      </c>
      <c r="AA16">
        <f t="shared" si="1"/>
        <v>-0.34139142899681524</v>
      </c>
      <c r="AB16">
        <f t="shared" si="2"/>
        <v>-0.14094392334632747</v>
      </c>
      <c r="AC16" s="13">
        <f t="shared" si="3"/>
        <v>-0.37105099041918616</v>
      </c>
      <c r="AD16" s="13"/>
      <c r="AE16" s="13"/>
      <c r="AF16" s="13"/>
    </row>
    <row r="17" spans="1:32">
      <c r="A17" s="2" t="s">
        <v>65</v>
      </c>
      <c r="B17">
        <v>2716.8813481148859</v>
      </c>
      <c r="C17">
        <v>261.54701031417511</v>
      </c>
      <c r="D17">
        <v>3068.6515333333336</v>
      </c>
      <c r="E17">
        <v>3349.3541333333337</v>
      </c>
      <c r="F17">
        <v>280.7025999999999</v>
      </c>
      <c r="G17">
        <v>0.64364640883977908</v>
      </c>
      <c r="H17">
        <v>1.533630261569445</v>
      </c>
      <c r="I17">
        <v>7.5160328328976941E-2</v>
      </c>
      <c r="J17">
        <v>3.5712881144737439E-2</v>
      </c>
      <c r="K17">
        <v>2.6390418390551805E-2</v>
      </c>
      <c r="L17">
        <f t="shared" si="0"/>
        <v>2.4482464352935893</v>
      </c>
      <c r="M17" t="s">
        <v>31</v>
      </c>
      <c r="N17">
        <v>372</v>
      </c>
      <c r="O17">
        <v>14</v>
      </c>
      <c r="P17">
        <v>1119</v>
      </c>
      <c r="Q17">
        <v>314.15368959483698</v>
      </c>
      <c r="R17">
        <v>396.505452130072</v>
      </c>
      <c r="S17" t="s">
        <v>66</v>
      </c>
      <c r="T17">
        <v>0</v>
      </c>
      <c r="U17">
        <v>0</v>
      </c>
      <c r="V17">
        <v>0</v>
      </c>
      <c r="W17">
        <v>4339.2782999999999</v>
      </c>
      <c r="X17">
        <v>9.1375898183362003E-2</v>
      </c>
      <c r="AA17">
        <f t="shared" si="1"/>
        <v>-0.33672271876854182</v>
      </c>
      <c r="AB17">
        <f t="shared" si="2"/>
        <v>-0.63588018337721375</v>
      </c>
      <c r="AC17" s="13">
        <f t="shared" si="3"/>
        <v>-0.14911349299556517</v>
      </c>
      <c r="AD17" s="13"/>
      <c r="AE17" s="13"/>
      <c r="AF17" s="13"/>
    </row>
    <row r="18" spans="1:32">
      <c r="A18" s="1" t="s">
        <v>67</v>
      </c>
      <c r="B18">
        <v>664.66072914701613</v>
      </c>
      <c r="C18">
        <v>113.46326297502338</v>
      </c>
      <c r="D18">
        <v>1287.1987666666666</v>
      </c>
      <c r="E18">
        <v>1582.2806333333335</v>
      </c>
      <c r="F18">
        <v>295.08186666666671</v>
      </c>
      <c r="G18">
        <v>0.63128930817610063</v>
      </c>
      <c r="H18">
        <v>0.32083682820981002</v>
      </c>
      <c r="I18">
        <v>20.129251475434881</v>
      </c>
      <c r="J18">
        <v>8.0553194458006239</v>
      </c>
      <c r="K18">
        <v>1</v>
      </c>
      <c r="L18">
        <f t="shared" si="0"/>
        <v>2.4699425221106903</v>
      </c>
      <c r="M18" t="s">
        <v>31</v>
      </c>
      <c r="N18">
        <v>434</v>
      </c>
      <c r="O18">
        <v>8</v>
      </c>
      <c r="P18">
        <v>1305</v>
      </c>
      <c r="Q18">
        <v>153.93014938439899</v>
      </c>
      <c r="R18">
        <v>194.28116078097401</v>
      </c>
      <c r="S18" t="s">
        <v>68</v>
      </c>
      <c r="T18">
        <v>0</v>
      </c>
      <c r="U18">
        <v>0</v>
      </c>
      <c r="V18">
        <v>0</v>
      </c>
      <c r="W18">
        <v>2377.1496999999999</v>
      </c>
      <c r="X18">
        <v>8.1728618429447106E-2</v>
      </c>
      <c r="Y18">
        <v>10.524666786193849</v>
      </c>
      <c r="Z18">
        <v>6.7145476341247559</v>
      </c>
      <c r="AA18">
        <f t="shared" si="1"/>
        <v>-0.33577395219175665</v>
      </c>
      <c r="AB18">
        <f t="shared" si="2"/>
        <v>-0.76075476262168662</v>
      </c>
      <c r="AC18" s="13">
        <f t="shared" si="3"/>
        <v>-0.30456805322425684</v>
      </c>
      <c r="AD18" s="13"/>
      <c r="AE18" s="13"/>
      <c r="AF18" s="13"/>
    </row>
    <row r="19" spans="1:32">
      <c r="A19" s="1" t="s">
        <v>69</v>
      </c>
      <c r="B19">
        <v>1113.2395166240533</v>
      </c>
      <c r="C19">
        <v>193.61276427578582</v>
      </c>
      <c r="D19">
        <v>652.8971366666666</v>
      </c>
      <c r="E19">
        <v>954.67450000000008</v>
      </c>
      <c r="F19">
        <v>301.77736333333337</v>
      </c>
      <c r="G19">
        <v>0.44778613199665829</v>
      </c>
      <c r="H19">
        <v>22.15521255766112</v>
      </c>
      <c r="I19">
        <v>10.354587221821241</v>
      </c>
      <c r="J19">
        <v>1.8286910843030055</v>
      </c>
      <c r="K19">
        <v>0</v>
      </c>
      <c r="L19">
        <f t="shared" si="0"/>
        <v>2.4796866597333773</v>
      </c>
      <c r="M19" t="s">
        <v>31</v>
      </c>
      <c r="N19">
        <v>409</v>
      </c>
      <c r="O19">
        <v>2</v>
      </c>
      <c r="P19">
        <v>1230</v>
      </c>
      <c r="Q19">
        <v>40.829033525740101</v>
      </c>
      <c r="R19">
        <v>51.531893255929198</v>
      </c>
      <c r="S19" t="s">
        <v>70</v>
      </c>
      <c r="T19">
        <v>0</v>
      </c>
      <c r="U19">
        <v>0</v>
      </c>
      <c r="V19">
        <v>0</v>
      </c>
      <c r="W19">
        <v>1052.1089999999999</v>
      </c>
      <c r="X19">
        <v>4.8979614522762602E-2</v>
      </c>
      <c r="Y19">
        <v>9.1650848388671875</v>
      </c>
      <c r="Z19">
        <v>8.7219820022583008</v>
      </c>
      <c r="AA19">
        <f t="shared" si="1"/>
        <v>-0.33533217281596722</v>
      </c>
      <c r="AB19">
        <f t="shared" si="2"/>
        <v>1.4874091928245057</v>
      </c>
      <c r="AC19" s="13">
        <f t="shared" si="3"/>
        <v>-0.41430276638868807</v>
      </c>
      <c r="AD19" s="13"/>
      <c r="AE19" s="13"/>
      <c r="AF19" s="13"/>
    </row>
    <row r="20" spans="1:32">
      <c r="A20" s="1" t="s">
        <v>71</v>
      </c>
      <c r="B20">
        <v>6413.0590962895467</v>
      </c>
      <c r="C20">
        <v>48.664342623021845</v>
      </c>
      <c r="D20">
        <v>48903.037000000004</v>
      </c>
      <c r="E20">
        <v>49208.840666666663</v>
      </c>
      <c r="F20">
        <v>305.80366666666669</v>
      </c>
      <c r="G20">
        <v>0.69113924050632913</v>
      </c>
      <c r="H20">
        <v>4.6589338425587511E-2</v>
      </c>
      <c r="I20">
        <v>8.3639554004916031E-2</v>
      </c>
      <c r="J20">
        <v>4.8060816457381819E-2</v>
      </c>
      <c r="K20">
        <v>1</v>
      </c>
      <c r="L20">
        <f t="shared" si="0"/>
        <v>2.485442688412971</v>
      </c>
      <c r="M20" t="s">
        <v>31</v>
      </c>
      <c r="N20">
        <v>405</v>
      </c>
      <c r="O20">
        <v>5</v>
      </c>
      <c r="P20">
        <v>1218</v>
      </c>
      <c r="Q20">
        <v>103.078225034196</v>
      </c>
      <c r="R20">
        <v>130.09899159440201</v>
      </c>
      <c r="S20" t="s">
        <v>72</v>
      </c>
      <c r="T20">
        <v>1</v>
      </c>
      <c r="U20">
        <v>122.44398187829</v>
      </c>
      <c r="V20">
        <v>0.97526631566058497</v>
      </c>
      <c r="W20">
        <v>46247.214999999997</v>
      </c>
      <c r="X20">
        <v>2.81312056508489E-3</v>
      </c>
      <c r="Y20">
        <v>10.325892448425289</v>
      </c>
      <c r="Z20">
        <v>8.9756917953491211</v>
      </c>
      <c r="AA20">
        <f t="shared" si="1"/>
        <v>-0.33506651100447021</v>
      </c>
      <c r="AB20">
        <f t="shared" si="2"/>
        <v>-0.78899249788117698</v>
      </c>
      <c r="AC20" s="13">
        <f t="shared" si="3"/>
        <v>-0.35390639343482044</v>
      </c>
      <c r="AD20" s="13"/>
      <c r="AE20" s="13"/>
      <c r="AF20" s="13"/>
    </row>
    <row r="21" spans="1:32">
      <c r="A21" s="1" t="s">
        <v>73</v>
      </c>
      <c r="B21">
        <v>2483.8420350238212</v>
      </c>
      <c r="C21">
        <v>529.28842599209668</v>
      </c>
      <c r="D21">
        <v>907.08437666666669</v>
      </c>
      <c r="E21">
        <v>1229.2537133333333</v>
      </c>
      <c r="F21">
        <v>322.16933666666665</v>
      </c>
      <c r="G21">
        <v>0.63516260162601623</v>
      </c>
      <c r="H21">
        <v>0.38238561192248871</v>
      </c>
      <c r="I21">
        <v>26.088392151272714</v>
      </c>
      <c r="J21">
        <v>9.1668673949113852</v>
      </c>
      <c r="K21">
        <v>1</v>
      </c>
      <c r="L21">
        <f t="shared" si="0"/>
        <v>2.5080842029044903</v>
      </c>
      <c r="M21" t="s">
        <v>31</v>
      </c>
      <c r="N21">
        <v>338</v>
      </c>
      <c r="O21">
        <v>22</v>
      </c>
      <c r="P21">
        <v>1017</v>
      </c>
      <c r="Q21">
        <v>543.18271740733906</v>
      </c>
      <c r="R21">
        <v>685.57179523374896</v>
      </c>
      <c r="S21" t="s">
        <v>74</v>
      </c>
      <c r="T21">
        <v>0</v>
      </c>
      <c r="U21">
        <v>0</v>
      </c>
      <c r="V21">
        <v>0</v>
      </c>
      <c r="W21">
        <v>1686.2238</v>
      </c>
      <c r="X21">
        <v>0.40657224458209401</v>
      </c>
      <c r="Y21">
        <v>9.7362575531005859</v>
      </c>
      <c r="Z21">
        <v>10.689394950866699</v>
      </c>
      <c r="AA21">
        <f t="shared" si="1"/>
        <v>-0.33398667841893998</v>
      </c>
      <c r="AB21">
        <f t="shared" si="2"/>
        <v>-0.75441742745996943</v>
      </c>
      <c r="AC21" s="13">
        <f t="shared" si="3"/>
        <v>7.3098591142854441E-2</v>
      </c>
      <c r="AD21" s="13"/>
      <c r="AE21" s="13"/>
      <c r="AF21" s="13"/>
    </row>
    <row r="22" spans="1:32">
      <c r="A22" s="1" t="s">
        <v>75</v>
      </c>
      <c r="B22">
        <v>3008.5463805950931</v>
      </c>
      <c r="C22">
        <v>114.01142934331362</v>
      </c>
      <c r="D22">
        <v>1854.4693</v>
      </c>
      <c r="E22">
        <v>2206.7438999999999</v>
      </c>
      <c r="F22">
        <v>352.27460000000002</v>
      </c>
      <c r="G22">
        <v>0.56430446194225725</v>
      </c>
      <c r="H22">
        <v>1.6693846437774287</v>
      </c>
      <c r="I22">
        <v>5.0368171479493</v>
      </c>
      <c r="J22">
        <v>3.2909993165570932</v>
      </c>
      <c r="K22">
        <v>1.9065093376839491E-35</v>
      </c>
      <c r="L22">
        <f t="shared" si="0"/>
        <v>2.5468813304434712</v>
      </c>
      <c r="M22" t="s">
        <v>31</v>
      </c>
      <c r="N22">
        <v>518</v>
      </c>
      <c r="O22">
        <v>19</v>
      </c>
      <c r="P22">
        <v>1557</v>
      </c>
      <c r="Q22">
        <v>306.41442308816499</v>
      </c>
      <c r="R22">
        <v>386.73742626559601</v>
      </c>
      <c r="S22" t="s">
        <v>76</v>
      </c>
      <c r="T22">
        <v>5</v>
      </c>
      <c r="U22">
        <v>612.21990939145303</v>
      </c>
      <c r="V22">
        <v>1.2832451521849799</v>
      </c>
      <c r="W22">
        <v>2636.002</v>
      </c>
      <c r="X22">
        <v>0.14671363157751599</v>
      </c>
      <c r="Y22">
        <v>8.827977180480957</v>
      </c>
      <c r="Z22">
        <v>7.3840646743774414</v>
      </c>
      <c r="AA22">
        <f t="shared" si="1"/>
        <v>-0.33200028590685204</v>
      </c>
      <c r="AB22">
        <f t="shared" si="2"/>
        <v>-0.62190231138968588</v>
      </c>
      <c r="AC22" s="13">
        <f t="shared" si="3"/>
        <v>-0.15662240379423542</v>
      </c>
      <c r="AD22" s="13"/>
      <c r="AE22" s="13"/>
      <c r="AF22" s="13"/>
    </row>
    <row r="23" spans="1:32">
      <c r="A23" s="1" t="s">
        <v>77</v>
      </c>
      <c r="B23">
        <v>2436.1227831174901</v>
      </c>
      <c r="C23">
        <v>318.04901072721628</v>
      </c>
      <c r="D23">
        <v>5537.2235333333329</v>
      </c>
      <c r="E23">
        <v>5982.6578333333337</v>
      </c>
      <c r="F23">
        <v>445.43429999999989</v>
      </c>
      <c r="G23">
        <v>0.64252553389043643</v>
      </c>
      <c r="H23">
        <v>0.77291391496437833</v>
      </c>
      <c r="I23">
        <v>6.12353148232524</v>
      </c>
      <c r="J23">
        <v>1.4994588496214893</v>
      </c>
      <c r="K23">
        <v>0.99999999999998979</v>
      </c>
      <c r="L23">
        <f t="shared" si="0"/>
        <v>2.6487836561806888</v>
      </c>
      <c r="M23" t="s">
        <v>31</v>
      </c>
      <c r="N23">
        <v>369</v>
      </c>
      <c r="O23">
        <v>4</v>
      </c>
      <c r="P23">
        <v>1110</v>
      </c>
      <c r="Q23">
        <v>90.485966192180797</v>
      </c>
      <c r="R23">
        <v>114.20581748611301</v>
      </c>
      <c r="S23" t="s">
        <v>78</v>
      </c>
      <c r="T23">
        <v>0</v>
      </c>
      <c r="U23">
        <v>0</v>
      </c>
      <c r="V23">
        <v>0</v>
      </c>
      <c r="W23">
        <v>9678.4740000000002</v>
      </c>
      <c r="X23">
        <v>1.17999818448769E-2</v>
      </c>
      <c r="Y23">
        <v>11.109339714050289</v>
      </c>
      <c r="Z23">
        <v>7.0105104446411133</v>
      </c>
      <c r="AA23">
        <f t="shared" si="1"/>
        <v>-0.32585346272648602</v>
      </c>
      <c r="AB23">
        <f t="shared" si="2"/>
        <v>-0.71420690505441742</v>
      </c>
      <c r="AC23" s="13">
        <f t="shared" si="3"/>
        <v>-0.36612384948403959</v>
      </c>
      <c r="AD23" s="13"/>
      <c r="AE23" s="13"/>
      <c r="AF23" s="13"/>
    </row>
    <row r="24" spans="1:32">
      <c r="A24" s="1" t="s">
        <v>79</v>
      </c>
      <c r="B24">
        <v>418.42974803210819</v>
      </c>
      <c r="C24">
        <v>32.984640685095236</v>
      </c>
      <c r="D24">
        <v>7077.9398000000001</v>
      </c>
      <c r="E24">
        <v>7534.8948666666665</v>
      </c>
      <c r="F24">
        <v>456.95506666666671</v>
      </c>
      <c r="G24">
        <v>0.47415329768270942</v>
      </c>
      <c r="H24">
        <v>1.240769249258824</v>
      </c>
      <c r="I24">
        <v>15.808972951918681</v>
      </c>
      <c r="J24">
        <v>7.7863841898937105</v>
      </c>
      <c r="K24">
        <v>7.8982470873181587E-99</v>
      </c>
      <c r="L24">
        <f t="shared" si="0"/>
        <v>2.6598734970980136</v>
      </c>
      <c r="M24" t="s">
        <v>31</v>
      </c>
      <c r="N24">
        <v>384</v>
      </c>
      <c r="O24">
        <v>10</v>
      </c>
      <c r="P24">
        <v>1155</v>
      </c>
      <c r="Q24">
        <v>217.40134734485</v>
      </c>
      <c r="R24">
        <v>274.39060045364897</v>
      </c>
      <c r="S24" t="s">
        <v>80</v>
      </c>
      <c r="T24">
        <v>0</v>
      </c>
      <c r="U24">
        <v>0</v>
      </c>
      <c r="V24">
        <v>0</v>
      </c>
      <c r="W24">
        <v>9293.3259999999991</v>
      </c>
      <c r="X24">
        <v>2.9525554193799802E-2</v>
      </c>
      <c r="Y24">
        <v>11.042153358459471</v>
      </c>
      <c r="Z24">
        <v>8.696864128112793</v>
      </c>
      <c r="AA24">
        <f t="shared" si="1"/>
        <v>-0.32509330446489593</v>
      </c>
      <c r="AB24">
        <f t="shared" si="2"/>
        <v>-0.66603444929213707</v>
      </c>
      <c r="AC24" s="13">
        <f t="shared" si="3"/>
        <v>-0.24298604627839265</v>
      </c>
      <c r="AD24" s="13"/>
      <c r="AE24" s="13"/>
      <c r="AF24" s="13"/>
    </row>
    <row r="25" spans="1:32">
      <c r="A25" s="1" t="s">
        <v>81</v>
      </c>
      <c r="B25">
        <v>781.85316051559664</v>
      </c>
      <c r="C25">
        <v>64.919879235829924</v>
      </c>
      <c r="D25">
        <v>1638.7469666666668</v>
      </c>
      <c r="E25">
        <v>2112.4920999999999</v>
      </c>
      <c r="F25">
        <v>473.74513333333317</v>
      </c>
      <c r="G25">
        <v>0.48512820512820509</v>
      </c>
      <c r="H25">
        <v>4.874528169397002</v>
      </c>
      <c r="I25">
        <v>21.91657524645667</v>
      </c>
      <c r="J25">
        <v>4.8239736073277424</v>
      </c>
      <c r="K25">
        <v>0</v>
      </c>
      <c r="L25">
        <f t="shared" si="0"/>
        <v>2.675544761599169</v>
      </c>
      <c r="M25" t="s">
        <v>31</v>
      </c>
      <c r="N25">
        <v>335</v>
      </c>
      <c r="O25">
        <v>11</v>
      </c>
      <c r="P25">
        <v>1008</v>
      </c>
      <c r="Q25">
        <v>274.01628154923799</v>
      </c>
      <c r="R25">
        <v>345.84648598845303</v>
      </c>
      <c r="S25" t="s">
        <v>82</v>
      </c>
      <c r="T25">
        <v>0</v>
      </c>
      <c r="U25">
        <v>0</v>
      </c>
      <c r="V25">
        <v>0</v>
      </c>
      <c r="W25">
        <v>3197.3024999999998</v>
      </c>
      <c r="X25">
        <v>0.10816820929156799</v>
      </c>
      <c r="Y25">
        <v>11.67135715484619</v>
      </c>
      <c r="Z25">
        <v>7.9468593597412109</v>
      </c>
      <c r="AA25">
        <f t="shared" si="1"/>
        <v>-0.32398546952138968</v>
      </c>
      <c r="AB25">
        <f t="shared" si="2"/>
        <v>-0.29188654928982161</v>
      </c>
      <c r="AC25" s="13">
        <f t="shared" si="3"/>
        <v>-0.18805622955133663</v>
      </c>
      <c r="AD25" s="13"/>
      <c r="AE25" s="13"/>
      <c r="AF25" s="13"/>
    </row>
    <row r="26" spans="1:32">
      <c r="A26" s="1" t="s">
        <v>83</v>
      </c>
      <c r="B26">
        <v>1167.230404231155</v>
      </c>
      <c r="C26">
        <v>34.948735063123813</v>
      </c>
      <c r="D26">
        <v>1441.0282459999999</v>
      </c>
      <c r="E26">
        <v>1969.1141733333334</v>
      </c>
      <c r="F26">
        <v>528.08592733333342</v>
      </c>
      <c r="G26">
        <v>0.42542542542542544</v>
      </c>
      <c r="H26">
        <v>12.752851980246817</v>
      </c>
      <c r="I26">
        <v>17.255912626593574</v>
      </c>
      <c r="J26">
        <v>5.8471780939014124</v>
      </c>
      <c r="K26">
        <v>0</v>
      </c>
      <c r="L26">
        <f t="shared" si="0"/>
        <v>2.722704594371828</v>
      </c>
      <c r="M26" t="s">
        <v>31</v>
      </c>
      <c r="N26">
        <v>343</v>
      </c>
      <c r="O26">
        <v>1</v>
      </c>
      <c r="P26">
        <v>1032</v>
      </c>
      <c r="Q26">
        <v>24.331255444118401</v>
      </c>
      <c r="R26">
        <v>30.7094131321671</v>
      </c>
      <c r="S26" t="s">
        <v>84</v>
      </c>
      <c r="T26">
        <v>0</v>
      </c>
      <c r="U26">
        <v>0</v>
      </c>
      <c r="V26">
        <v>0</v>
      </c>
      <c r="W26">
        <v>3502.9666000000002</v>
      </c>
      <c r="X26">
        <v>8.7666873935272893E-3</v>
      </c>
      <c r="Y26">
        <v>8.7231197357177734</v>
      </c>
      <c r="Z26">
        <v>11.31737804412842</v>
      </c>
      <c r="AA26">
        <f t="shared" si="1"/>
        <v>-0.32039997866859926</v>
      </c>
      <c r="AB26">
        <f t="shared" si="2"/>
        <v>0.51930053663155495</v>
      </c>
      <c r="AC26" s="13">
        <f t="shared" si="3"/>
        <v>-0.43030949569363675</v>
      </c>
      <c r="AD26" s="13"/>
      <c r="AE26" s="13"/>
      <c r="AF26" s="13"/>
    </row>
    <row r="27" spans="1:32">
      <c r="A27" s="2" t="s">
        <v>85</v>
      </c>
      <c r="B27">
        <v>5789.5543960270452</v>
      </c>
      <c r="C27">
        <v>75.187599677324911</v>
      </c>
      <c r="D27">
        <v>7.111307</v>
      </c>
      <c r="E27">
        <v>550.75794333333329</v>
      </c>
      <c r="F27">
        <v>543.64663633333328</v>
      </c>
      <c r="G27">
        <v>0.66151202749140903</v>
      </c>
      <c r="H27">
        <v>4.761231175783278E-2</v>
      </c>
      <c r="I27">
        <v>24.842663452329688</v>
      </c>
      <c r="J27">
        <v>6.5964002333553653</v>
      </c>
      <c r="K27">
        <v>1</v>
      </c>
      <c r="L27">
        <f t="shared" si="0"/>
        <v>2.7353167052964111</v>
      </c>
      <c r="M27" t="s">
        <v>31</v>
      </c>
      <c r="N27">
        <v>398</v>
      </c>
      <c r="O27">
        <v>14</v>
      </c>
      <c r="P27">
        <v>1197</v>
      </c>
      <c r="Q27">
        <v>293.68252185181501</v>
      </c>
      <c r="R27">
        <v>370.66800412159603</v>
      </c>
      <c r="S27" t="s">
        <v>86</v>
      </c>
      <c r="T27">
        <v>0</v>
      </c>
      <c r="U27">
        <v>0</v>
      </c>
      <c r="V27">
        <v>0</v>
      </c>
      <c r="W27">
        <v>924.15449999999998</v>
      </c>
      <c r="X27">
        <v>0.40108878344648702</v>
      </c>
      <c r="AA27">
        <f t="shared" si="1"/>
        <v>-0.31937325867289157</v>
      </c>
      <c r="AB27">
        <f t="shared" si="2"/>
        <v>-0.78888716801961223</v>
      </c>
      <c r="AC27" s="13">
        <f t="shared" si="3"/>
        <v>-0.16897534584614862</v>
      </c>
      <c r="AD27" s="13"/>
      <c r="AE27" s="13"/>
      <c r="AF27" s="13"/>
    </row>
    <row r="28" spans="1:32">
      <c r="A28" s="1" t="s">
        <v>87</v>
      </c>
      <c r="B28">
        <v>6002.05111403708</v>
      </c>
      <c r="C28">
        <v>81.113356397473893</v>
      </c>
      <c r="D28">
        <v>992.14204500000005</v>
      </c>
      <c r="E28">
        <v>1548.9329</v>
      </c>
      <c r="F28">
        <v>556.79085499999997</v>
      </c>
      <c r="G28">
        <v>0.60167130919220058</v>
      </c>
      <c r="H28">
        <v>0.10235034772187379</v>
      </c>
      <c r="I28">
        <v>24.387238116951224</v>
      </c>
      <c r="J28">
        <v>17.12297990469251</v>
      </c>
      <c r="K28">
        <v>1</v>
      </c>
      <c r="L28">
        <f t="shared" si="0"/>
        <v>2.7456920936002556</v>
      </c>
      <c r="M28" t="s">
        <v>31</v>
      </c>
      <c r="N28">
        <v>369</v>
      </c>
      <c r="O28">
        <v>2</v>
      </c>
      <c r="P28">
        <v>1110</v>
      </c>
      <c r="Q28">
        <v>45.242983096090398</v>
      </c>
      <c r="R28">
        <v>57.102908743056702</v>
      </c>
      <c r="S28" t="s">
        <v>88</v>
      </c>
      <c r="T28">
        <v>0</v>
      </c>
      <c r="U28">
        <v>0</v>
      </c>
      <c r="V28">
        <v>0</v>
      </c>
      <c r="W28">
        <v>2360.1626000000001</v>
      </c>
      <c r="X28">
        <v>2.4194480813761101E-2</v>
      </c>
      <c r="Y28">
        <v>11.28148365020752</v>
      </c>
      <c r="Z28">
        <v>7.2573122978210449</v>
      </c>
      <c r="AA28">
        <f t="shared" si="1"/>
        <v>-0.3185059825010268</v>
      </c>
      <c r="AB28">
        <f t="shared" si="2"/>
        <v>-0.78325109758778</v>
      </c>
      <c r="AC28" s="13">
        <f t="shared" si="3"/>
        <v>-0.41002019599716377</v>
      </c>
      <c r="AD28" s="13"/>
      <c r="AE28" s="13"/>
      <c r="AF28" s="13"/>
    </row>
    <row r="29" spans="1:32">
      <c r="A29" s="1" t="s">
        <v>89</v>
      </c>
      <c r="B29">
        <v>3600.4730513310387</v>
      </c>
      <c r="C29">
        <v>472.86176390741747</v>
      </c>
      <c r="D29">
        <v>75.023022666666677</v>
      </c>
      <c r="E29">
        <v>633.18283666666673</v>
      </c>
      <c r="F29">
        <v>558.15981399999998</v>
      </c>
      <c r="G29">
        <v>0.59292929292929286</v>
      </c>
      <c r="H29">
        <v>0.35785089051148983</v>
      </c>
      <c r="I29">
        <v>12.707552642827309</v>
      </c>
      <c r="J29">
        <v>2.5210625851043469</v>
      </c>
      <c r="K29">
        <v>1</v>
      </c>
      <c r="L29">
        <f t="shared" si="0"/>
        <v>2.7467585652477338</v>
      </c>
      <c r="M29" t="s">
        <v>31</v>
      </c>
      <c r="N29">
        <v>340</v>
      </c>
      <c r="O29">
        <v>9</v>
      </c>
      <c r="P29">
        <v>1023</v>
      </c>
      <c r="Q29">
        <v>220.90782068912199</v>
      </c>
      <c r="R29">
        <v>278.81625529967602</v>
      </c>
      <c r="S29" t="s">
        <v>90</v>
      </c>
      <c r="T29">
        <v>0</v>
      </c>
      <c r="U29">
        <v>0</v>
      </c>
      <c r="V29">
        <v>0</v>
      </c>
      <c r="W29">
        <v>1023.6802</v>
      </c>
      <c r="X29">
        <v>0.27236656066970499</v>
      </c>
      <c r="Y29">
        <v>10.388691902160639</v>
      </c>
      <c r="Z29">
        <v>10.14120674133301</v>
      </c>
      <c r="AA29">
        <f t="shared" si="1"/>
        <v>-0.31841565643821029</v>
      </c>
      <c r="AB29">
        <f t="shared" si="2"/>
        <v>-0.75694363095745354</v>
      </c>
      <c r="AC29" s="13">
        <f t="shared" si="3"/>
        <v>-0.23958394150045864</v>
      </c>
      <c r="AD29" s="13"/>
      <c r="AE29" s="13"/>
      <c r="AF29" s="13"/>
    </row>
    <row r="30" spans="1:32">
      <c r="A30" s="1" t="s">
        <v>91</v>
      </c>
      <c r="B30">
        <v>1057.3976916696981</v>
      </c>
      <c r="C30">
        <v>322.99266040949271</v>
      </c>
      <c r="D30">
        <v>5917.0246666666671</v>
      </c>
      <c r="E30">
        <v>6642.6417333333338</v>
      </c>
      <c r="F30">
        <v>725.61706666666669</v>
      </c>
      <c r="G30">
        <v>0.49019607843137253</v>
      </c>
      <c r="H30">
        <v>1.4293363132987444</v>
      </c>
      <c r="I30">
        <v>16.648246820019352</v>
      </c>
      <c r="J30">
        <v>6.6553540863685035</v>
      </c>
      <c r="K30">
        <v>1.348519730357383E-74</v>
      </c>
      <c r="L30">
        <f t="shared" si="0"/>
        <v>2.8607074888701089</v>
      </c>
      <c r="M30" t="s">
        <v>31</v>
      </c>
      <c r="N30">
        <v>741</v>
      </c>
      <c r="O30">
        <v>5</v>
      </c>
      <c r="P30">
        <v>2226</v>
      </c>
      <c r="Q30">
        <v>56.401292943239397</v>
      </c>
      <c r="R30">
        <v>71.186240683729693</v>
      </c>
      <c r="S30" t="s">
        <v>92</v>
      </c>
      <c r="T30">
        <v>1</v>
      </c>
      <c r="U30">
        <v>122.44398187829</v>
      </c>
      <c r="V30">
        <v>0.97526631566058497</v>
      </c>
      <c r="W30">
        <v>10580.192999999999</v>
      </c>
      <c r="X30">
        <v>6.7282553998523204E-3</v>
      </c>
      <c r="Y30">
        <v>8.5569934844970703</v>
      </c>
      <c r="Z30">
        <v>6.5197906494140616</v>
      </c>
      <c r="AA30">
        <f t="shared" si="1"/>
        <v>-0.30736656415461683</v>
      </c>
      <c r="AB30">
        <f t="shared" si="2"/>
        <v>-0.64661874985507706</v>
      </c>
      <c r="AC30" s="13">
        <f t="shared" si="3"/>
        <v>-0.39919400811050371</v>
      </c>
      <c r="AD30" s="13"/>
      <c r="AE30" s="13"/>
      <c r="AF30" s="13"/>
    </row>
    <row r="31" spans="1:32">
      <c r="A31" s="1" t="s">
        <v>93</v>
      </c>
      <c r="B31">
        <v>597.70576737966564</v>
      </c>
      <c r="C31">
        <v>49.690841414064401</v>
      </c>
      <c r="D31">
        <v>2267.6427666666664</v>
      </c>
      <c r="E31">
        <v>2997.2565666666669</v>
      </c>
      <c r="F31">
        <v>729.61380000000008</v>
      </c>
      <c r="G31">
        <v>0.60236511456023645</v>
      </c>
      <c r="H31">
        <v>1.5238839488093727</v>
      </c>
      <c r="I31">
        <v>8.5507492609269224</v>
      </c>
      <c r="J31">
        <v>6.4692182694330365</v>
      </c>
      <c r="K31">
        <v>7.625685117499545E-83</v>
      </c>
      <c r="L31">
        <f t="shared" si="0"/>
        <v>2.863093039694224</v>
      </c>
      <c r="M31" t="s">
        <v>31</v>
      </c>
      <c r="N31">
        <v>461</v>
      </c>
      <c r="O31">
        <v>11</v>
      </c>
      <c r="P31">
        <v>1386</v>
      </c>
      <c r="Q31">
        <v>199.28456839944599</v>
      </c>
      <c r="R31">
        <v>251.52471708251099</v>
      </c>
      <c r="S31" t="s">
        <v>94</v>
      </c>
      <c r="T31">
        <v>1</v>
      </c>
      <c r="U31">
        <v>122.44398187829</v>
      </c>
      <c r="V31">
        <v>0.44330287075481101</v>
      </c>
      <c r="W31">
        <v>3528.2159999999999</v>
      </c>
      <c r="X31">
        <v>7.1289489385715499E-2</v>
      </c>
      <c r="Y31">
        <v>10.61400318145752</v>
      </c>
      <c r="Z31">
        <v>6.8510551452636719</v>
      </c>
      <c r="AA31">
        <f t="shared" si="1"/>
        <v>-0.30710285341811727</v>
      </c>
      <c r="AB31">
        <f t="shared" si="2"/>
        <v>-0.63688370687232987</v>
      </c>
      <c r="AC31" s="13">
        <f t="shared" si="3"/>
        <v>-0.26056358763105042</v>
      </c>
      <c r="AD31" s="13"/>
      <c r="AE31" s="13"/>
      <c r="AF31" s="13"/>
    </row>
    <row r="32" spans="1:32">
      <c r="A32" s="1" t="s">
        <v>95</v>
      </c>
      <c r="B32">
        <v>4390.0997253524438</v>
      </c>
      <c r="C32">
        <v>245.05606010851676</v>
      </c>
      <c r="D32">
        <v>238.0166902</v>
      </c>
      <c r="E32">
        <v>975.81908666666675</v>
      </c>
      <c r="F32">
        <v>737.80239646666666</v>
      </c>
      <c r="G32">
        <v>0.39564787339268054</v>
      </c>
      <c r="H32">
        <v>0.33367454191395202</v>
      </c>
      <c r="I32">
        <v>6.2428105816186603</v>
      </c>
      <c r="J32">
        <v>0.28050668699953019</v>
      </c>
      <c r="K32">
        <v>1</v>
      </c>
      <c r="L32">
        <f t="shared" si="0"/>
        <v>2.8679400615312822</v>
      </c>
      <c r="M32" t="s">
        <v>31</v>
      </c>
      <c r="N32">
        <v>347</v>
      </c>
      <c r="O32">
        <v>9</v>
      </c>
      <c r="P32">
        <v>1044</v>
      </c>
      <c r="Q32">
        <v>216.46427257181199</v>
      </c>
      <c r="R32">
        <v>273.20788234824499</v>
      </c>
      <c r="S32" t="s">
        <v>96</v>
      </c>
      <c r="T32">
        <v>0</v>
      </c>
      <c r="U32">
        <v>0</v>
      </c>
      <c r="V32">
        <v>0</v>
      </c>
      <c r="W32">
        <v>952.59105999999997</v>
      </c>
      <c r="X32">
        <v>0.28680500355340899</v>
      </c>
      <c r="Y32">
        <v>12.38764095306396</v>
      </c>
      <c r="Z32">
        <v>9.5363254547119141</v>
      </c>
      <c r="AA32">
        <f t="shared" si="1"/>
        <v>-0.30656255697474138</v>
      </c>
      <c r="AB32">
        <f t="shared" si="2"/>
        <v>-0.75943293480404683</v>
      </c>
      <c r="AC32" s="13">
        <f t="shared" si="3"/>
        <v>-0.24389522945180586</v>
      </c>
      <c r="AD32" s="13"/>
      <c r="AE32" s="13"/>
      <c r="AF32" s="13"/>
    </row>
    <row r="33" spans="1:32">
      <c r="A33" s="1" t="s">
        <v>97</v>
      </c>
      <c r="B33">
        <v>585.68027451125192</v>
      </c>
      <c r="C33">
        <v>96.070066160048611</v>
      </c>
      <c r="D33">
        <v>15103.524333333335</v>
      </c>
      <c r="E33">
        <v>15861.206</v>
      </c>
      <c r="F33">
        <v>757.68166666666605</v>
      </c>
      <c r="G33">
        <v>0.55949895615866385</v>
      </c>
      <c r="H33">
        <v>0.32058495201626064</v>
      </c>
      <c r="I33">
        <v>21.045865277436977</v>
      </c>
      <c r="J33">
        <v>2.0649114463930953</v>
      </c>
      <c r="K33">
        <v>1</v>
      </c>
      <c r="L33">
        <f t="shared" si="0"/>
        <v>2.8794867789191811</v>
      </c>
      <c r="M33" t="s">
        <v>31</v>
      </c>
      <c r="N33">
        <v>489</v>
      </c>
      <c r="O33">
        <v>46</v>
      </c>
      <c r="P33">
        <v>1470</v>
      </c>
      <c r="Q33">
        <v>785.75058397495798</v>
      </c>
      <c r="R33">
        <v>991.72602735390399</v>
      </c>
      <c r="S33" t="s">
        <v>98</v>
      </c>
      <c r="T33">
        <v>0</v>
      </c>
      <c r="U33">
        <v>0</v>
      </c>
      <c r="V33">
        <v>0</v>
      </c>
      <c r="W33">
        <v>22226.895</v>
      </c>
      <c r="X33">
        <v>4.4618289120180898E-2</v>
      </c>
      <c r="Y33">
        <v>9.6195411682128906</v>
      </c>
      <c r="Z33">
        <v>6.7160940170288086</v>
      </c>
      <c r="AA33">
        <f t="shared" si="1"/>
        <v>-0.30525089153492008</v>
      </c>
      <c r="AB33">
        <f t="shared" si="2"/>
        <v>-0.7607806969092793</v>
      </c>
      <c r="AC33" s="13">
        <f t="shared" si="3"/>
        <v>0.30844653672784783</v>
      </c>
      <c r="AD33" s="13"/>
      <c r="AE33" s="13"/>
      <c r="AF33" s="13"/>
    </row>
    <row r="34" spans="1:32">
      <c r="A34" s="1" t="s">
        <v>99</v>
      </c>
      <c r="B34">
        <v>5786.17618585734</v>
      </c>
      <c r="C34">
        <v>78.719376820569153</v>
      </c>
      <c r="D34">
        <v>4635.0191666666669</v>
      </c>
      <c r="E34">
        <v>5394.6056333333336</v>
      </c>
      <c r="F34">
        <v>759.5864666666663</v>
      </c>
      <c r="G34">
        <v>0.43967572722937531</v>
      </c>
      <c r="H34">
        <v>1.0231917583911521</v>
      </c>
      <c r="I34">
        <v>8.3425171448616817E-2</v>
      </c>
      <c r="J34">
        <v>2.8098346887299504E-2</v>
      </c>
      <c r="K34">
        <v>0.39471497814091144</v>
      </c>
      <c r="L34">
        <f t="shared" si="0"/>
        <v>2.8805772184341918</v>
      </c>
      <c r="M34" t="s">
        <v>31</v>
      </c>
      <c r="N34">
        <v>709</v>
      </c>
      <c r="O34">
        <v>8</v>
      </c>
      <c r="P34">
        <v>2130</v>
      </c>
      <c r="Q34">
        <v>94.309316876357499</v>
      </c>
      <c r="R34">
        <v>119.03141540806099</v>
      </c>
      <c r="S34" t="s">
        <v>100</v>
      </c>
      <c r="T34">
        <v>0</v>
      </c>
      <c r="U34">
        <v>0</v>
      </c>
      <c r="V34">
        <v>0</v>
      </c>
      <c r="W34">
        <v>8234.6319999999996</v>
      </c>
      <c r="X34">
        <v>1.44549769082652E-2</v>
      </c>
      <c r="Y34">
        <v>5.8638949394226074</v>
      </c>
      <c r="Z34">
        <v>7.8572988510131836</v>
      </c>
      <c r="AA34">
        <f t="shared" si="1"/>
        <v>-0.30512520984214991</v>
      </c>
      <c r="AB34">
        <f t="shared" si="2"/>
        <v>-0.68843719066409814</v>
      </c>
      <c r="AC34" s="13">
        <f t="shared" si="3"/>
        <v>-0.36241429907447975</v>
      </c>
      <c r="AD34" s="13"/>
      <c r="AE34" s="13"/>
      <c r="AF34" s="13"/>
    </row>
    <row r="35" spans="1:32">
      <c r="A35" s="1" t="s">
        <v>101</v>
      </c>
      <c r="B35">
        <v>1124.5756988332193</v>
      </c>
      <c r="C35">
        <v>73.78434843840499</v>
      </c>
      <c r="D35">
        <v>220.26648433333332</v>
      </c>
      <c r="E35">
        <v>983.13580000000002</v>
      </c>
      <c r="F35">
        <v>762.86931566666681</v>
      </c>
      <c r="G35">
        <v>0.42942942942942941</v>
      </c>
      <c r="H35">
        <v>5.5187563527254753</v>
      </c>
      <c r="I35">
        <v>0.11170609206889125</v>
      </c>
      <c r="J35">
        <v>7.742627104022866E-3</v>
      </c>
      <c r="K35">
        <v>0</v>
      </c>
      <c r="L35">
        <f t="shared" si="0"/>
        <v>2.882450146938043</v>
      </c>
      <c r="M35" t="s">
        <v>31</v>
      </c>
      <c r="N35">
        <v>343</v>
      </c>
      <c r="O35">
        <v>6</v>
      </c>
      <c r="P35">
        <v>1032</v>
      </c>
      <c r="Q35">
        <v>145.98753266470999</v>
      </c>
      <c r="R35">
        <v>184.256478793002</v>
      </c>
      <c r="S35" t="s">
        <v>102</v>
      </c>
      <c r="T35">
        <v>0</v>
      </c>
      <c r="U35">
        <v>0</v>
      </c>
      <c r="V35">
        <v>0</v>
      </c>
      <c r="W35">
        <v>1233.5210999999999</v>
      </c>
      <c r="X35">
        <v>0.14937440372361899</v>
      </c>
      <c r="Y35">
        <v>11.100412368774411</v>
      </c>
      <c r="Z35">
        <v>9.7967872619628906</v>
      </c>
      <c r="AA35">
        <f t="shared" si="1"/>
        <v>-0.30490860231410027</v>
      </c>
      <c r="AB35">
        <f t="shared" si="2"/>
        <v>-0.22555396443427778</v>
      </c>
      <c r="AC35" s="13">
        <f t="shared" si="3"/>
        <v>-0.3122742616103818</v>
      </c>
      <c r="AD35" s="13"/>
      <c r="AE35" s="13"/>
      <c r="AF35" s="13"/>
    </row>
    <row r="36" spans="1:32">
      <c r="A36" s="1" t="s">
        <v>103</v>
      </c>
      <c r="B36">
        <v>1346.1209260842415</v>
      </c>
      <c r="C36">
        <v>337.1115208393407</v>
      </c>
      <c r="D36">
        <v>1767.8141599999999</v>
      </c>
      <c r="E36">
        <v>2613.9211666666665</v>
      </c>
      <c r="F36">
        <v>846.10700666666662</v>
      </c>
      <c r="G36">
        <v>0.4614295824486907</v>
      </c>
      <c r="H36">
        <v>0.48143780190760549</v>
      </c>
      <c r="I36">
        <v>35.575770332547989</v>
      </c>
      <c r="J36">
        <v>19.044421237809395</v>
      </c>
      <c r="K36">
        <v>1</v>
      </c>
      <c r="L36">
        <f t="shared" si="0"/>
        <v>2.9274252914859114</v>
      </c>
      <c r="M36" t="s">
        <v>31</v>
      </c>
      <c r="N36">
        <v>481</v>
      </c>
      <c r="O36">
        <v>1</v>
      </c>
      <c r="P36">
        <v>1446</v>
      </c>
      <c r="Q36">
        <v>17.365045379204801</v>
      </c>
      <c r="R36">
        <v>21.917091530011401</v>
      </c>
      <c r="S36" t="s">
        <v>104</v>
      </c>
      <c r="T36">
        <v>0</v>
      </c>
      <c r="U36">
        <v>0</v>
      </c>
      <c r="V36">
        <v>0</v>
      </c>
      <c r="W36">
        <v>4219.7592999999997</v>
      </c>
      <c r="X36">
        <v>5.1939198356672602E-3</v>
      </c>
      <c r="Y36">
        <v>8.7367782592773438</v>
      </c>
      <c r="Z36">
        <v>7.1417922973632813</v>
      </c>
      <c r="AA36">
        <f t="shared" si="1"/>
        <v>-0.29941644885591023</v>
      </c>
      <c r="AB36">
        <f t="shared" si="2"/>
        <v>-0.74421857561314608</v>
      </c>
      <c r="AC36" s="13">
        <f t="shared" si="3"/>
        <v>-0.43706835971998093</v>
      </c>
      <c r="AD36" s="13"/>
      <c r="AE36" s="13"/>
      <c r="AF36" s="13"/>
    </row>
    <row r="37" spans="1:32">
      <c r="A37" s="1" t="s">
        <v>105</v>
      </c>
      <c r="B37">
        <v>6316.9704743845805</v>
      </c>
      <c r="C37">
        <v>159.69688732859669</v>
      </c>
      <c r="D37">
        <v>3485.5131999999999</v>
      </c>
      <c r="E37">
        <v>4345.8595333333333</v>
      </c>
      <c r="F37">
        <v>860.34633333333352</v>
      </c>
      <c r="G37">
        <v>0.59900990099009899</v>
      </c>
      <c r="H37">
        <v>8.9293883212563194E-2</v>
      </c>
      <c r="I37">
        <v>26.994462159871173</v>
      </c>
      <c r="J37">
        <v>5.526407171460658</v>
      </c>
      <c r="K37">
        <v>1</v>
      </c>
      <c r="L37">
        <f t="shared" si="0"/>
        <v>2.9346733121476585</v>
      </c>
      <c r="M37" t="s">
        <v>31</v>
      </c>
      <c r="N37">
        <v>414</v>
      </c>
      <c r="O37">
        <v>6</v>
      </c>
      <c r="P37">
        <v>1245</v>
      </c>
      <c r="Q37">
        <v>121.01135237749401</v>
      </c>
      <c r="R37">
        <v>152.73308121636799</v>
      </c>
      <c r="S37" t="s">
        <v>106</v>
      </c>
      <c r="T37">
        <v>4</v>
      </c>
      <c r="U37">
        <v>489.775927513162</v>
      </c>
      <c r="V37">
        <v>3.2508877188686101</v>
      </c>
      <c r="W37">
        <v>4059.4326000000001</v>
      </c>
      <c r="X37">
        <v>3.7624243648328698E-2</v>
      </c>
      <c r="Y37">
        <v>10.77237510681152</v>
      </c>
      <c r="Z37">
        <v>8.3044357299804688</v>
      </c>
      <c r="AA37">
        <f t="shared" si="1"/>
        <v>-0.29847691573990115</v>
      </c>
      <c r="AB37">
        <f t="shared" si="2"/>
        <v>-0.78459544895642497</v>
      </c>
      <c r="AC37" s="13">
        <f t="shared" si="3"/>
        <v>-0.3365070373788</v>
      </c>
      <c r="AD37" s="13"/>
      <c r="AE37" s="13"/>
      <c r="AF37" s="13"/>
    </row>
    <row r="38" spans="1:32">
      <c r="A38" s="1" t="s">
        <v>107</v>
      </c>
      <c r="B38">
        <v>702.35379924224878</v>
      </c>
      <c r="C38">
        <v>98.897752987293899</v>
      </c>
      <c r="D38">
        <v>350.67652333333331</v>
      </c>
      <c r="E38">
        <v>1227.8848</v>
      </c>
      <c r="F38">
        <v>877.20827666666673</v>
      </c>
      <c r="G38">
        <v>0.54890219560878251</v>
      </c>
      <c r="H38">
        <v>0.36149758886747602</v>
      </c>
      <c r="I38">
        <v>4.0194007504679172</v>
      </c>
      <c r="J38">
        <v>0.88929116831696509</v>
      </c>
      <c r="K38">
        <v>1</v>
      </c>
      <c r="L38">
        <f t="shared" si="0"/>
        <v>2.9431027206955269</v>
      </c>
      <c r="M38" t="s">
        <v>31</v>
      </c>
      <c r="N38">
        <v>344</v>
      </c>
      <c r="O38">
        <v>19</v>
      </c>
      <c r="P38">
        <v>1035</v>
      </c>
      <c r="Q38">
        <v>460.95387125436997</v>
      </c>
      <c r="R38">
        <v>581.78760646911405</v>
      </c>
      <c r="S38" t="s">
        <v>108</v>
      </c>
      <c r="T38">
        <v>1</v>
      </c>
      <c r="U38">
        <v>122.44398187829</v>
      </c>
      <c r="V38">
        <v>0.256649030436996</v>
      </c>
      <c r="W38">
        <v>1942.1311000000001</v>
      </c>
      <c r="X38">
        <v>0.29956144900265202</v>
      </c>
      <c r="Y38">
        <v>8.5667142868041992</v>
      </c>
      <c r="Z38">
        <v>12.457685470581049</v>
      </c>
      <c r="AA38">
        <f t="shared" si="1"/>
        <v>-0.29736433826114855</v>
      </c>
      <c r="AB38">
        <f t="shared" si="2"/>
        <v>-0.75656815075587147</v>
      </c>
      <c r="AC38" s="13">
        <f t="shared" si="3"/>
        <v>-6.6827512244002647E-3</v>
      </c>
      <c r="AD38" s="13"/>
      <c r="AE38" s="13"/>
      <c r="AF38" s="13"/>
    </row>
    <row r="39" spans="1:32">
      <c r="A39" s="1" t="s">
        <v>109</v>
      </c>
      <c r="B39">
        <v>756.86503456001992</v>
      </c>
      <c r="C39">
        <v>166.91210442428164</v>
      </c>
      <c r="D39">
        <v>283.75211333333328</v>
      </c>
      <c r="E39">
        <v>1202.6288000000002</v>
      </c>
      <c r="F39">
        <v>918.87668666666661</v>
      </c>
      <c r="G39">
        <v>0.44321329639889195</v>
      </c>
      <c r="H39">
        <v>0.16079603051834468</v>
      </c>
      <c r="I39">
        <v>28.326236769522382</v>
      </c>
      <c r="J39">
        <v>7.209278988740853</v>
      </c>
      <c r="K39">
        <v>1</v>
      </c>
      <c r="L39">
        <f t="shared" si="0"/>
        <v>2.9632572329382909</v>
      </c>
      <c r="M39" t="s">
        <v>31</v>
      </c>
      <c r="N39">
        <v>371</v>
      </c>
      <c r="O39">
        <v>11</v>
      </c>
      <c r="P39">
        <v>1116</v>
      </c>
      <c r="Q39">
        <v>247.49857688318201</v>
      </c>
      <c r="R39">
        <v>312.377471215377</v>
      </c>
      <c r="S39" t="s">
        <v>110</v>
      </c>
      <c r="T39">
        <v>1</v>
      </c>
      <c r="U39">
        <v>122.44398187829</v>
      </c>
      <c r="V39">
        <v>0.44330287075481101</v>
      </c>
      <c r="W39">
        <v>1944.9662000000001</v>
      </c>
      <c r="X39">
        <v>0.16060817468981001</v>
      </c>
      <c r="Y39">
        <v>11.34241962432861</v>
      </c>
      <c r="Z39">
        <v>7.3810853958129883</v>
      </c>
      <c r="AA39">
        <f t="shared" si="1"/>
        <v>-0.29461499118857321</v>
      </c>
      <c r="AB39">
        <f t="shared" si="2"/>
        <v>-0.77723327142949727</v>
      </c>
      <c r="AC39" s="13">
        <f t="shared" si="3"/>
        <v>-0.21378464693446161</v>
      </c>
      <c r="AD39" s="13"/>
      <c r="AE39" s="13"/>
      <c r="AF39" s="13"/>
    </row>
    <row r="40" spans="1:32">
      <c r="A40" s="1" t="s">
        <v>111</v>
      </c>
      <c r="B40">
        <v>6081.0906144469727</v>
      </c>
      <c r="C40">
        <v>36.404403124230328</v>
      </c>
      <c r="D40">
        <v>184848.87333333332</v>
      </c>
      <c r="E40">
        <v>185877.69666666666</v>
      </c>
      <c r="F40">
        <v>1028.8233333333337</v>
      </c>
      <c r="G40">
        <v>0.59631147540983609</v>
      </c>
      <c r="H40">
        <v>0.24092107548772343</v>
      </c>
      <c r="I40">
        <v>3.2032436828121651</v>
      </c>
      <c r="J40">
        <v>1.5281633566887167</v>
      </c>
      <c r="K40">
        <v>1</v>
      </c>
      <c r="L40">
        <f t="shared" si="0"/>
        <v>3.0123408053303393</v>
      </c>
      <c r="M40" t="s">
        <v>31</v>
      </c>
      <c r="N40">
        <v>498</v>
      </c>
      <c r="O40">
        <v>17</v>
      </c>
      <c r="P40">
        <v>1497</v>
      </c>
      <c r="Q40">
        <v>285.14866099640102</v>
      </c>
      <c r="R40">
        <v>359.89709017417499</v>
      </c>
      <c r="S40" t="s">
        <v>112</v>
      </c>
      <c r="T40">
        <v>4</v>
      </c>
      <c r="U40">
        <v>489.775927513162</v>
      </c>
      <c r="V40">
        <v>1.1473721360712701</v>
      </c>
      <c r="W40">
        <v>188392.55</v>
      </c>
      <c r="X40">
        <v>1.9103573372417E-3</v>
      </c>
      <c r="Y40">
        <v>8.741398811340332</v>
      </c>
      <c r="Z40">
        <v>6.7955641746520996</v>
      </c>
      <c r="AA40">
        <f t="shared" si="1"/>
        <v>-0.28736053892719637</v>
      </c>
      <c r="AB40">
        <f t="shared" si="2"/>
        <v>-0.76898324219757885</v>
      </c>
      <c r="AC40" s="13">
        <f t="shared" si="3"/>
        <v>-0.17725520025823333</v>
      </c>
      <c r="AD40" s="13"/>
      <c r="AE40" s="13"/>
      <c r="AF40" s="13"/>
    </row>
    <row r="41" spans="1:32">
      <c r="A41" s="1" t="s">
        <v>113</v>
      </c>
      <c r="B41">
        <v>588.48779524246982</v>
      </c>
      <c r="C41">
        <v>79.632766325709966</v>
      </c>
      <c r="D41">
        <v>980.39384666666672</v>
      </c>
      <c r="E41">
        <v>2017.3871333333334</v>
      </c>
      <c r="F41">
        <v>1036.9932866666666</v>
      </c>
      <c r="G41">
        <v>0.46153846153846156</v>
      </c>
      <c r="H41">
        <v>5.985986587087365</v>
      </c>
      <c r="I41">
        <v>3.7629850150718576</v>
      </c>
      <c r="J41">
        <v>2.0961373321190688</v>
      </c>
      <c r="K41">
        <v>0</v>
      </c>
      <c r="L41">
        <f t="shared" si="0"/>
        <v>3.0157759448431785</v>
      </c>
      <c r="M41" t="s">
        <v>31</v>
      </c>
      <c r="N41">
        <v>348</v>
      </c>
      <c r="O41">
        <v>2</v>
      </c>
      <c r="P41">
        <v>1047</v>
      </c>
      <c r="Q41">
        <v>47.965340245138798</v>
      </c>
      <c r="R41">
        <v>60.538900386621698</v>
      </c>
      <c r="S41" t="s">
        <v>114</v>
      </c>
      <c r="T41">
        <v>0</v>
      </c>
      <c r="U41">
        <v>0</v>
      </c>
      <c r="V41">
        <v>0</v>
      </c>
      <c r="W41">
        <v>3087.1718999999998</v>
      </c>
      <c r="X41">
        <v>1.9609824897221202E-2</v>
      </c>
      <c r="Y41">
        <v>10.3853702545166</v>
      </c>
      <c r="Z41">
        <v>9.7660923004150391</v>
      </c>
      <c r="AA41">
        <f t="shared" si="1"/>
        <v>-0.28682147258701024</v>
      </c>
      <c r="AB41">
        <f t="shared" si="2"/>
        <v>-0.17744587172749932</v>
      </c>
      <c r="AC41" s="13">
        <f t="shared" si="3"/>
        <v>-0.40737886855654598</v>
      </c>
      <c r="AD41" s="13"/>
      <c r="AE41" s="13"/>
      <c r="AF41" s="13"/>
    </row>
    <row r="42" spans="1:32">
      <c r="A42" s="1" t="s">
        <v>115</v>
      </c>
      <c r="B42">
        <v>3246.7029351718006</v>
      </c>
      <c r="C42">
        <v>647.56558649097656</v>
      </c>
      <c r="D42">
        <v>879.27868999999998</v>
      </c>
      <c r="E42">
        <v>1945.4829666666665</v>
      </c>
      <c r="F42">
        <v>1066.2042766666668</v>
      </c>
      <c r="G42">
        <v>0.59537037037037033</v>
      </c>
      <c r="H42">
        <v>6.7586147546299491E-2</v>
      </c>
      <c r="I42">
        <v>6.8884141433752391E-2</v>
      </c>
      <c r="J42">
        <v>4.0709225901165109E-2</v>
      </c>
      <c r="K42">
        <v>1</v>
      </c>
      <c r="L42">
        <f t="shared" si="0"/>
        <v>3.0278404201970202</v>
      </c>
      <c r="M42" t="s">
        <v>31</v>
      </c>
      <c r="N42">
        <v>370</v>
      </c>
      <c r="O42">
        <v>40</v>
      </c>
      <c r="P42">
        <v>1113</v>
      </c>
      <c r="Q42">
        <v>902.42068709183002</v>
      </c>
      <c r="R42">
        <v>1138.9798509396701</v>
      </c>
      <c r="S42" t="s">
        <v>116</v>
      </c>
      <c r="T42">
        <v>0</v>
      </c>
      <c r="U42">
        <v>0</v>
      </c>
      <c r="V42">
        <v>0</v>
      </c>
      <c r="W42">
        <v>2775.2220000000002</v>
      </c>
      <c r="X42">
        <v>0.410410356699275</v>
      </c>
      <c r="Y42">
        <v>8.8069114685058594</v>
      </c>
      <c r="Z42">
        <v>11.111747741699221</v>
      </c>
      <c r="AA42">
        <f t="shared" si="1"/>
        <v>-0.28489408563263569</v>
      </c>
      <c r="AB42">
        <f t="shared" si="2"/>
        <v>-0.78683057349050634</v>
      </c>
      <c r="AC42" s="13">
        <f t="shared" si="3"/>
        <v>0.42164400788625817</v>
      </c>
      <c r="AD42" s="13"/>
      <c r="AE42" s="13"/>
      <c r="AF42" s="13"/>
    </row>
    <row r="43" spans="1:32">
      <c r="A43" s="1" t="s">
        <v>117</v>
      </c>
      <c r="B43">
        <v>549.00296264772442</v>
      </c>
      <c r="C43">
        <v>71.212985491351844</v>
      </c>
      <c r="D43">
        <v>1760.4408333333333</v>
      </c>
      <c r="E43">
        <v>2826.6554999999994</v>
      </c>
      <c r="F43">
        <v>1066.2146666666667</v>
      </c>
      <c r="G43">
        <v>0.74184782608695654</v>
      </c>
      <c r="H43">
        <v>0.14628120197117328</v>
      </c>
      <c r="I43">
        <v>1.598924875555366</v>
      </c>
      <c r="J43">
        <v>0.88300950582070026</v>
      </c>
      <c r="K43">
        <v>1</v>
      </c>
      <c r="L43">
        <f t="shared" si="0"/>
        <v>3.0278446523106775</v>
      </c>
      <c r="M43" t="s">
        <v>31</v>
      </c>
      <c r="N43">
        <v>378</v>
      </c>
      <c r="O43">
        <v>38</v>
      </c>
      <c r="P43">
        <v>1137</v>
      </c>
      <c r="Q43">
        <v>839.20361785096497</v>
      </c>
      <c r="R43">
        <v>1059.1911568962701</v>
      </c>
      <c r="S43" t="s">
        <v>118</v>
      </c>
      <c r="T43">
        <v>0</v>
      </c>
      <c r="U43">
        <v>0</v>
      </c>
      <c r="V43">
        <v>0</v>
      </c>
      <c r="W43">
        <v>2999.0646999999999</v>
      </c>
      <c r="X43">
        <v>0.35317382679215797</v>
      </c>
      <c r="Y43">
        <v>9.3460912704467773</v>
      </c>
      <c r="Z43">
        <v>10.193699836730961</v>
      </c>
      <c r="AA43">
        <f t="shared" si="1"/>
        <v>-0.28489340008413305</v>
      </c>
      <c r="AB43">
        <f t="shared" si="2"/>
        <v>-0.77872778241362473</v>
      </c>
      <c r="AC43" s="13">
        <f t="shared" si="3"/>
        <v>0.36030856563552449</v>
      </c>
      <c r="AD43" s="13"/>
      <c r="AE43" s="13"/>
      <c r="AF43" s="13"/>
    </row>
    <row r="44" spans="1:32">
      <c r="A44" s="1" t="s">
        <v>119</v>
      </c>
      <c r="B44">
        <v>5189.1087700419666</v>
      </c>
      <c r="C44">
        <v>71.239627242496027</v>
      </c>
      <c r="D44">
        <v>13457.329</v>
      </c>
      <c r="E44">
        <v>14547.607000000002</v>
      </c>
      <c r="F44">
        <v>1090.2780000000009</v>
      </c>
      <c r="G44">
        <v>0.41321499013806706</v>
      </c>
      <c r="H44">
        <v>0.56770305745232819</v>
      </c>
      <c r="I44">
        <v>38.293480950787618</v>
      </c>
      <c r="J44">
        <v>7.4822882221303786</v>
      </c>
      <c r="K44">
        <v>1</v>
      </c>
      <c r="L44">
        <f t="shared" si="0"/>
        <v>3.0375372488325958</v>
      </c>
      <c r="M44" t="s">
        <v>31</v>
      </c>
      <c r="N44">
        <v>348</v>
      </c>
      <c r="O44">
        <v>11</v>
      </c>
      <c r="P44">
        <v>1047</v>
      </c>
      <c r="Q44">
        <v>263.80937134826303</v>
      </c>
      <c r="R44">
        <v>332.96395212641897</v>
      </c>
      <c r="S44" t="s">
        <v>120</v>
      </c>
      <c r="T44">
        <v>2</v>
      </c>
      <c r="U44">
        <v>244.887963756581</v>
      </c>
      <c r="V44">
        <v>0.88660574150962201</v>
      </c>
      <c r="W44">
        <v>19539.060000000001</v>
      </c>
      <c r="X44">
        <v>1.7040940154051401E-2</v>
      </c>
      <c r="Y44">
        <v>8.81536865234375</v>
      </c>
      <c r="Z44">
        <v>11.359055519104</v>
      </c>
      <c r="AA44">
        <f t="shared" si="1"/>
        <v>-0.28330566359367404</v>
      </c>
      <c r="AB44">
        <f t="shared" si="2"/>
        <v>-0.7353363231262382</v>
      </c>
      <c r="AC44" s="13">
        <f t="shared" si="3"/>
        <v>-0.19795933576470778</v>
      </c>
      <c r="AD44" s="13"/>
      <c r="AE44" s="13"/>
      <c r="AF44" s="13"/>
    </row>
    <row r="45" spans="1:32">
      <c r="A45" s="1" t="s">
        <v>121</v>
      </c>
      <c r="B45">
        <v>380.84710683020171</v>
      </c>
      <c r="C45">
        <v>141.64530326361592</v>
      </c>
      <c r="D45">
        <v>1992.4151199999999</v>
      </c>
      <c r="E45">
        <v>3165.8491333333332</v>
      </c>
      <c r="F45">
        <v>1173.4340133333333</v>
      </c>
      <c r="G45">
        <v>0.53115727002967361</v>
      </c>
      <c r="H45">
        <v>4.0614812293824984</v>
      </c>
      <c r="I45">
        <v>36.044561311985241</v>
      </c>
      <c r="J45">
        <v>15.307537237605118</v>
      </c>
      <c r="K45">
        <v>0</v>
      </c>
      <c r="L45">
        <f t="shared" si="0"/>
        <v>3.069458672587392</v>
      </c>
      <c r="M45" t="s">
        <v>31</v>
      </c>
      <c r="N45">
        <v>347</v>
      </c>
      <c r="O45">
        <v>45</v>
      </c>
      <c r="P45">
        <v>1044</v>
      </c>
      <c r="Q45">
        <v>1082.3213628590599</v>
      </c>
      <c r="R45">
        <v>1366.03941174122</v>
      </c>
      <c r="S45" t="s">
        <v>122</v>
      </c>
      <c r="T45">
        <v>0</v>
      </c>
      <c r="U45">
        <v>0</v>
      </c>
      <c r="V45">
        <v>0</v>
      </c>
      <c r="W45">
        <v>4126.0033999999996</v>
      </c>
      <c r="X45">
        <v>0.33108053467460202</v>
      </c>
      <c r="Y45">
        <v>11.37464427947998</v>
      </c>
      <c r="Z45">
        <v>11.000449180603029</v>
      </c>
      <c r="AA45">
        <f t="shared" si="1"/>
        <v>-0.27781889935608894</v>
      </c>
      <c r="AB45">
        <f t="shared" si="2"/>
        <v>-0.37560146045904341</v>
      </c>
      <c r="AC45" s="13">
        <f t="shared" si="3"/>
        <v>0.59619002278212219</v>
      </c>
      <c r="AD45" s="13"/>
      <c r="AE45" s="13"/>
      <c r="AF45" s="13"/>
    </row>
    <row r="46" spans="1:32">
      <c r="A46" s="1" t="s">
        <v>123</v>
      </c>
      <c r="B46">
        <v>6284.7316365805173</v>
      </c>
      <c r="C46">
        <v>65.268502473098849</v>
      </c>
      <c r="D46">
        <v>3518.1765666666665</v>
      </c>
      <c r="E46">
        <v>4760.366133333333</v>
      </c>
      <c r="F46">
        <v>1242.1895666666667</v>
      </c>
      <c r="G46">
        <v>0.55870020964360589</v>
      </c>
      <c r="H46">
        <v>0.13301984978461742</v>
      </c>
      <c r="I46">
        <v>1.603793882783356</v>
      </c>
      <c r="J46">
        <v>0.75407060853623487</v>
      </c>
      <c r="K46">
        <v>1</v>
      </c>
      <c r="L46">
        <f t="shared" si="0"/>
        <v>3.0941878772214597</v>
      </c>
      <c r="M46" t="s">
        <v>31</v>
      </c>
      <c r="N46">
        <v>328</v>
      </c>
      <c r="O46">
        <v>7</v>
      </c>
      <c r="P46">
        <v>987</v>
      </c>
      <c r="Q46">
        <v>178.08408239950401</v>
      </c>
      <c r="R46">
        <v>224.76676845671199</v>
      </c>
      <c r="S46" t="s">
        <v>124</v>
      </c>
      <c r="T46">
        <v>0</v>
      </c>
      <c r="U46">
        <v>0</v>
      </c>
      <c r="V46">
        <v>0</v>
      </c>
      <c r="W46">
        <v>7483.8829999999998</v>
      </c>
      <c r="X46">
        <v>3.00334423262246E-2</v>
      </c>
      <c r="Y46">
        <v>11.81658840179443</v>
      </c>
      <c r="Z46">
        <v>8.210205078125</v>
      </c>
      <c r="AA46">
        <f t="shared" si="1"/>
        <v>-0.27328230006467619</v>
      </c>
      <c r="AB46">
        <f t="shared" si="2"/>
        <v>-0.78009322992427088</v>
      </c>
      <c r="AC46" s="13">
        <f t="shared" si="3"/>
        <v>-0.28113305091607654</v>
      </c>
      <c r="AD46" s="13"/>
      <c r="AE46" s="13"/>
      <c r="AF46" s="13"/>
    </row>
    <row r="47" spans="1:32">
      <c r="A47" s="1" t="s">
        <v>125</v>
      </c>
      <c r="B47">
        <v>371.78176753824329</v>
      </c>
      <c r="C47">
        <v>74.375735265763367</v>
      </c>
      <c r="D47">
        <v>1381.9431999999999</v>
      </c>
      <c r="E47">
        <v>2716.0449333333331</v>
      </c>
      <c r="F47">
        <v>1334.101733333333</v>
      </c>
      <c r="G47">
        <v>0.60438596491228069</v>
      </c>
      <c r="H47">
        <v>0.66207055832573236</v>
      </c>
      <c r="I47">
        <v>8.3615485275454944</v>
      </c>
      <c r="J47">
        <v>0.75241189958857913</v>
      </c>
      <c r="K47">
        <v>1</v>
      </c>
      <c r="L47">
        <f t="shared" si="0"/>
        <v>3.1251889484266084</v>
      </c>
      <c r="M47" t="s">
        <v>31</v>
      </c>
      <c r="N47">
        <v>390</v>
      </c>
      <c r="O47">
        <v>34</v>
      </c>
      <c r="P47">
        <v>1173</v>
      </c>
      <c r="Q47">
        <v>727.82190198058504</v>
      </c>
      <c r="R47">
        <v>918.61201021439103</v>
      </c>
      <c r="S47" t="s">
        <v>126</v>
      </c>
      <c r="T47">
        <v>1</v>
      </c>
      <c r="U47">
        <v>122.44398187829</v>
      </c>
      <c r="V47">
        <v>0.14342151700890901</v>
      </c>
      <c r="W47">
        <v>4410.2353999999996</v>
      </c>
      <c r="X47">
        <v>0.20829092483688899</v>
      </c>
      <c r="Y47">
        <v>10.99102210998535</v>
      </c>
      <c r="Z47">
        <v>7.2361240386962891</v>
      </c>
      <c r="AA47">
        <f t="shared" si="1"/>
        <v>-0.26721779109111432</v>
      </c>
      <c r="AB47">
        <f t="shared" si="2"/>
        <v>-0.72561982760294463</v>
      </c>
      <c r="AC47" s="13">
        <f t="shared" si="3"/>
        <v>0.25224207530953552</v>
      </c>
      <c r="AD47" s="13"/>
      <c r="AE47" s="13"/>
      <c r="AF47" s="13"/>
    </row>
    <row r="48" spans="1:32">
      <c r="A48" s="1" t="s">
        <v>127</v>
      </c>
      <c r="B48">
        <v>509.63683310581933</v>
      </c>
      <c r="C48">
        <v>24.644671467685498</v>
      </c>
      <c r="D48">
        <v>22.939019400000003</v>
      </c>
      <c r="E48">
        <v>1510.3765666666668</v>
      </c>
      <c r="F48">
        <v>1487.4375472666663</v>
      </c>
      <c r="G48">
        <v>0.74347158218125964</v>
      </c>
      <c r="H48">
        <v>6.7919288448224882E-2</v>
      </c>
      <c r="I48">
        <v>37.720129840298661</v>
      </c>
      <c r="J48">
        <v>22.926582767848544</v>
      </c>
      <c r="K48">
        <v>1</v>
      </c>
      <c r="L48">
        <f t="shared" si="0"/>
        <v>3.1724387401505973</v>
      </c>
      <c r="M48" t="s">
        <v>31</v>
      </c>
      <c r="N48">
        <v>444</v>
      </c>
      <c r="O48">
        <v>55</v>
      </c>
      <c r="P48">
        <v>1335</v>
      </c>
      <c r="Q48">
        <v>1034.4884337139699</v>
      </c>
      <c r="R48">
        <v>1305.66763249573</v>
      </c>
      <c r="S48" t="s">
        <v>128</v>
      </c>
      <c r="T48">
        <v>0</v>
      </c>
      <c r="U48">
        <v>0</v>
      </c>
      <c r="V48">
        <v>0</v>
      </c>
      <c r="W48">
        <v>1811.9019000000001</v>
      </c>
      <c r="X48">
        <v>0.72060613904965598</v>
      </c>
      <c r="Y48">
        <v>10.488203048706049</v>
      </c>
      <c r="Z48">
        <v>6.6465005874633789</v>
      </c>
      <c r="AA48">
        <f t="shared" si="1"/>
        <v>-0.25710045349271388</v>
      </c>
      <c r="AB48">
        <f t="shared" si="2"/>
        <v>-0.78679627182889367</v>
      </c>
      <c r="AC48" s="13">
        <f t="shared" si="3"/>
        <v>0.54978081877293683</v>
      </c>
      <c r="AD48" s="13"/>
      <c r="AE48" s="13"/>
      <c r="AF48" s="13"/>
    </row>
    <row r="49" spans="1:32">
      <c r="A49" s="1" t="s">
        <v>129</v>
      </c>
      <c r="B49">
        <v>521.58770755226067</v>
      </c>
      <c r="C49">
        <v>172.70499328216664</v>
      </c>
      <c r="D49">
        <v>2532.1201100000003</v>
      </c>
      <c r="E49">
        <v>4051.7316000000005</v>
      </c>
      <c r="F49">
        <v>1519.61149</v>
      </c>
      <c r="G49">
        <v>0.45279383429672448</v>
      </c>
      <c r="H49">
        <v>5.7632915528339366</v>
      </c>
      <c r="I49">
        <v>27.437584822220085</v>
      </c>
      <c r="J49">
        <v>11.11652758709427</v>
      </c>
      <c r="K49">
        <v>0</v>
      </c>
      <c r="L49">
        <f t="shared" si="0"/>
        <v>3.1817325686578419</v>
      </c>
      <c r="M49" t="s">
        <v>31</v>
      </c>
      <c r="N49">
        <v>356</v>
      </c>
      <c r="O49">
        <v>50</v>
      </c>
      <c r="P49">
        <v>1071</v>
      </c>
      <c r="Q49">
        <v>1172.26216705556</v>
      </c>
      <c r="R49">
        <v>1479.55715930889</v>
      </c>
      <c r="S49" t="s">
        <v>130</v>
      </c>
      <c r="T49">
        <v>0</v>
      </c>
      <c r="U49">
        <v>0</v>
      </c>
      <c r="V49">
        <v>0</v>
      </c>
      <c r="W49">
        <v>5856.5810000000001</v>
      </c>
      <c r="X49">
        <v>0.25263155402595699</v>
      </c>
      <c r="Y49">
        <v>11.065498352050779</v>
      </c>
      <c r="Z49">
        <v>9.7581081390380859</v>
      </c>
      <c r="AA49">
        <f t="shared" si="1"/>
        <v>-0.25497756626790496</v>
      </c>
      <c r="AB49">
        <f t="shared" si="2"/>
        <v>-0.2003755380146881</v>
      </c>
      <c r="AC49" s="13">
        <f t="shared" si="3"/>
        <v>0.68345378030875137</v>
      </c>
      <c r="AD49" s="13"/>
      <c r="AE49" s="13"/>
      <c r="AF49" s="13"/>
    </row>
    <row r="50" spans="1:32">
      <c r="A50" s="1" t="s">
        <v>131</v>
      </c>
      <c r="B50">
        <v>976.10113708647475</v>
      </c>
      <c r="C50">
        <v>176.55438508774614</v>
      </c>
      <c r="D50">
        <v>581.85496999999998</v>
      </c>
      <c r="E50">
        <v>2147.4776333333334</v>
      </c>
      <c r="F50">
        <v>1565.6226633333333</v>
      </c>
      <c r="G50">
        <v>0.5571293673276676</v>
      </c>
      <c r="H50">
        <v>0.49182563320111</v>
      </c>
      <c r="I50">
        <v>34.32775299577284</v>
      </c>
      <c r="J50">
        <v>17.639975990773188</v>
      </c>
      <c r="K50">
        <v>1</v>
      </c>
      <c r="L50">
        <f t="shared" si="0"/>
        <v>3.1946870993702881</v>
      </c>
      <c r="M50" t="s">
        <v>31</v>
      </c>
      <c r="N50">
        <v>363</v>
      </c>
      <c r="O50">
        <v>8</v>
      </c>
      <c r="P50">
        <v>1092</v>
      </c>
      <c r="Q50">
        <v>183.954986214873</v>
      </c>
      <c r="R50">
        <v>232.176661922318</v>
      </c>
      <c r="S50" t="s">
        <v>132</v>
      </c>
      <c r="T50">
        <v>2</v>
      </c>
      <c r="U50">
        <v>244.887963756581</v>
      </c>
      <c r="V50">
        <v>1.2190828945757299</v>
      </c>
      <c r="W50">
        <v>2740.0333999999998</v>
      </c>
      <c r="X50">
        <v>8.4734975100054802E-2</v>
      </c>
      <c r="Y50">
        <v>10.350045204162599</v>
      </c>
      <c r="Z50">
        <v>10.077357292175289</v>
      </c>
      <c r="AA50">
        <f t="shared" si="1"/>
        <v>-0.25194167685648378</v>
      </c>
      <c r="AB50">
        <f t="shared" si="2"/>
        <v>-0.74314899853071958</v>
      </c>
      <c r="AC50" s="13">
        <f t="shared" si="3"/>
        <v>-0.27543689185253045</v>
      </c>
      <c r="AD50" s="13"/>
      <c r="AE50" s="13"/>
      <c r="AF50" s="13"/>
    </row>
    <row r="51" spans="1:32">
      <c r="A51" s="1" t="s">
        <v>133</v>
      </c>
      <c r="B51">
        <v>2779.6580063548645</v>
      </c>
      <c r="C51">
        <v>360.96986519812287</v>
      </c>
      <c r="D51">
        <v>51859.546333333339</v>
      </c>
      <c r="E51">
        <v>53451.570333333337</v>
      </c>
      <c r="F51">
        <v>1592.0239999999976</v>
      </c>
      <c r="G51">
        <v>0.45042935206869633</v>
      </c>
      <c r="H51">
        <v>5.5240545289207219</v>
      </c>
      <c r="I51">
        <v>24.137351405623146</v>
      </c>
      <c r="J51">
        <v>6.3598441784664903</v>
      </c>
      <c r="K51">
        <v>0</v>
      </c>
      <c r="L51">
        <f t="shared" si="0"/>
        <v>3.2019496105052934</v>
      </c>
      <c r="M51" t="s">
        <v>31</v>
      </c>
      <c r="N51">
        <v>437</v>
      </c>
      <c r="O51">
        <v>28</v>
      </c>
      <c r="P51">
        <v>1314</v>
      </c>
      <c r="Q51">
        <v>535.06541652453905</v>
      </c>
      <c r="R51">
        <v>675.32663764619599</v>
      </c>
      <c r="S51" t="s">
        <v>134</v>
      </c>
      <c r="T51">
        <v>1</v>
      </c>
      <c r="U51">
        <v>122.44398187829</v>
      </c>
      <c r="V51">
        <v>0.17415469922510399</v>
      </c>
      <c r="W51">
        <v>59450.964999999997</v>
      </c>
      <c r="X51">
        <v>1.1359388996397201E-2</v>
      </c>
      <c r="Y51">
        <v>10.66175556182861</v>
      </c>
      <c r="Z51">
        <v>9.2984437942504883</v>
      </c>
      <c r="AA51">
        <f t="shared" si="1"/>
        <v>-0.2501996752375939</v>
      </c>
      <c r="AB51">
        <f t="shared" si="2"/>
        <v>-0.22500844076557541</v>
      </c>
      <c r="AC51" s="13">
        <f t="shared" si="3"/>
        <v>6.522289798738988E-2</v>
      </c>
      <c r="AD51" s="13"/>
      <c r="AE51" s="13"/>
      <c r="AF51" s="13"/>
    </row>
    <row r="52" spans="1:32">
      <c r="A52" s="1" t="s">
        <v>135</v>
      </c>
      <c r="B52">
        <v>1954.0209366004863</v>
      </c>
      <c r="C52">
        <v>614.5304612926974</v>
      </c>
      <c r="D52">
        <v>5796.2589666666672</v>
      </c>
      <c r="E52">
        <v>7413.1885666666667</v>
      </c>
      <c r="F52">
        <v>1616.9295999999995</v>
      </c>
      <c r="G52">
        <v>0.57411587659894658</v>
      </c>
      <c r="H52">
        <v>0.14531677489288089</v>
      </c>
      <c r="I52">
        <v>3.5044498822257055</v>
      </c>
      <c r="J52">
        <v>0.7111332923264756</v>
      </c>
      <c r="K52">
        <v>1</v>
      </c>
      <c r="L52">
        <f t="shared" si="0"/>
        <v>3.2086911114357091</v>
      </c>
      <c r="M52" t="s">
        <v>31</v>
      </c>
      <c r="N52">
        <v>453</v>
      </c>
      <c r="O52">
        <v>11</v>
      </c>
      <c r="P52">
        <v>1362</v>
      </c>
      <c r="Q52">
        <v>202.796190750097</v>
      </c>
      <c r="R52">
        <v>255.95687068749001</v>
      </c>
      <c r="S52" t="s">
        <v>136</v>
      </c>
      <c r="T52">
        <v>2</v>
      </c>
      <c r="U52">
        <v>244.887963756581</v>
      </c>
      <c r="V52">
        <v>0.88660574150962201</v>
      </c>
      <c r="W52">
        <v>9309.1489999999994</v>
      </c>
      <c r="X52">
        <v>2.7495195391919199E-2</v>
      </c>
      <c r="Y52">
        <v>9.6406898498535156</v>
      </c>
      <c r="Z52">
        <v>7.4461169242858887</v>
      </c>
      <c r="AA52">
        <f t="shared" si="1"/>
        <v>-0.24855636467089029</v>
      </c>
      <c r="AB52">
        <f t="shared" si="2"/>
        <v>-0.77882708409377988</v>
      </c>
      <c r="AC52" s="13">
        <f t="shared" si="3"/>
        <v>-0.25715648710454403</v>
      </c>
      <c r="AD52" s="13"/>
      <c r="AE52" s="13"/>
      <c r="AF52" s="13"/>
    </row>
    <row r="53" spans="1:32">
      <c r="A53" s="1" t="s">
        <v>137</v>
      </c>
      <c r="B53">
        <v>4204.0776916679824</v>
      </c>
      <c r="C53">
        <v>753.61439542274115</v>
      </c>
      <c r="D53">
        <v>83429.021666666667</v>
      </c>
      <c r="E53">
        <v>85169.128000000012</v>
      </c>
      <c r="F53">
        <v>1740.1063333333343</v>
      </c>
      <c r="G53">
        <v>0.52303523035230359</v>
      </c>
      <c r="H53">
        <v>0.67432305889584032</v>
      </c>
      <c r="I53">
        <v>0.86603773279503393</v>
      </c>
      <c r="J53">
        <v>0.4549988874551259</v>
      </c>
      <c r="K53">
        <v>1</v>
      </c>
      <c r="L53">
        <f t="shared" si="0"/>
        <v>3.2405757876900205</v>
      </c>
      <c r="M53" t="s">
        <v>31</v>
      </c>
      <c r="N53">
        <v>379</v>
      </c>
      <c r="O53">
        <v>8</v>
      </c>
      <c r="P53">
        <v>1140</v>
      </c>
      <c r="Q53">
        <v>176.209513111089</v>
      </c>
      <c r="R53">
        <v>222.400802472957</v>
      </c>
      <c r="S53" t="s">
        <v>138</v>
      </c>
      <c r="T53">
        <v>4</v>
      </c>
      <c r="U53">
        <v>489.775927513162</v>
      </c>
      <c r="V53">
        <v>2.4381657891514599</v>
      </c>
      <c r="W53">
        <v>81194.600000000006</v>
      </c>
      <c r="X53">
        <v>2.7391082962778001E-3</v>
      </c>
      <c r="Y53">
        <v>9.1082630157470703</v>
      </c>
      <c r="Z53">
        <v>10.67007541656494</v>
      </c>
      <c r="AA53">
        <f t="shared" si="1"/>
        <v>-0.24042897053227552</v>
      </c>
      <c r="AB53">
        <f t="shared" si="2"/>
        <v>-0.72435825591950753</v>
      </c>
      <c r="AC53" s="13">
        <f t="shared" si="3"/>
        <v>-0.28295182451180434</v>
      </c>
      <c r="AD53" s="13"/>
      <c r="AE53" s="13"/>
      <c r="AF53" s="13"/>
    </row>
    <row r="54" spans="1:32">
      <c r="A54" s="1" t="s">
        <v>139</v>
      </c>
      <c r="B54">
        <v>6067.3731826244739</v>
      </c>
      <c r="C54">
        <v>87.036259854943594</v>
      </c>
      <c r="D54">
        <v>63843.140666666673</v>
      </c>
      <c r="E54">
        <v>65611.447666666674</v>
      </c>
      <c r="F54">
        <v>1768.3070000000007</v>
      </c>
      <c r="G54">
        <v>0.41033138401559455</v>
      </c>
      <c r="H54">
        <v>0.16138943785181709</v>
      </c>
      <c r="I54">
        <v>9.1736163887938122</v>
      </c>
      <c r="J54">
        <v>2.3164104792699205</v>
      </c>
      <c r="K54">
        <v>1</v>
      </c>
      <c r="L54">
        <f t="shared" si="0"/>
        <v>3.2475576661247598</v>
      </c>
      <c r="M54" t="s">
        <v>31</v>
      </c>
      <c r="N54">
        <v>352</v>
      </c>
      <c r="O54">
        <v>3</v>
      </c>
      <c r="P54">
        <v>1059</v>
      </c>
      <c r="Q54">
        <v>71.132735462691699</v>
      </c>
      <c r="R54">
        <v>89.779360771661402</v>
      </c>
      <c r="S54" t="s">
        <v>140</v>
      </c>
      <c r="T54">
        <v>0</v>
      </c>
      <c r="U54">
        <v>0</v>
      </c>
      <c r="V54">
        <v>0</v>
      </c>
      <c r="W54">
        <v>82791.460000000006</v>
      </c>
      <c r="X54">
        <v>1.08440364225563E-3</v>
      </c>
      <c r="Y54">
        <v>10.34875965118408</v>
      </c>
      <c r="Z54">
        <v>9.8111257553100586</v>
      </c>
      <c r="AA54">
        <f t="shared" si="1"/>
        <v>-0.23856824629670539</v>
      </c>
      <c r="AB54">
        <f t="shared" si="2"/>
        <v>-0.777172171584256</v>
      </c>
      <c r="AC54" s="13">
        <f t="shared" si="3"/>
        <v>-0.38490104020211818</v>
      </c>
      <c r="AD54" s="13"/>
      <c r="AE54" s="13"/>
      <c r="AF54" s="13"/>
    </row>
    <row r="55" spans="1:32">
      <c r="A55" s="1" t="s">
        <v>141</v>
      </c>
      <c r="B55">
        <v>845.00850872996671</v>
      </c>
      <c r="C55">
        <v>122.36743534114935</v>
      </c>
      <c r="D55">
        <v>16998.949333333334</v>
      </c>
      <c r="E55">
        <v>18773.234</v>
      </c>
      <c r="F55">
        <v>1774.2846666666665</v>
      </c>
      <c r="G55">
        <v>0.40018570102135564</v>
      </c>
      <c r="H55">
        <v>16.07260564548335</v>
      </c>
      <c r="I55">
        <v>13.211399368179316</v>
      </c>
      <c r="J55">
        <v>3.3236661026854839</v>
      </c>
      <c r="K55">
        <v>0</v>
      </c>
      <c r="L55">
        <f t="shared" si="0"/>
        <v>3.2490232993989983</v>
      </c>
      <c r="M55" t="s">
        <v>31</v>
      </c>
      <c r="N55">
        <v>369</v>
      </c>
      <c r="O55">
        <v>9</v>
      </c>
      <c r="P55">
        <v>1110</v>
      </c>
      <c r="Q55">
        <v>203.59342393240601</v>
      </c>
      <c r="R55">
        <v>256.96308934375497</v>
      </c>
      <c r="S55" t="s">
        <v>142</v>
      </c>
      <c r="T55">
        <v>0</v>
      </c>
      <c r="U55">
        <v>0</v>
      </c>
      <c r="V55">
        <v>0</v>
      </c>
      <c r="W55">
        <v>23032.888999999999</v>
      </c>
      <c r="X55">
        <v>1.1156355129560799E-2</v>
      </c>
      <c r="Y55">
        <v>8.981480598449707</v>
      </c>
      <c r="Z55">
        <v>10.76682186126709</v>
      </c>
      <c r="AA55">
        <f t="shared" si="1"/>
        <v>-0.23817383047064367</v>
      </c>
      <c r="AB55">
        <f t="shared" si="2"/>
        <v>0.86111706592569059</v>
      </c>
      <c r="AC55" s="13">
        <f t="shared" si="3"/>
        <v>-0.25638298320122999</v>
      </c>
      <c r="AD55" s="13"/>
      <c r="AE55" s="13"/>
      <c r="AF55" s="13"/>
    </row>
    <row r="56" spans="1:32">
      <c r="A56" s="1" t="s">
        <v>143</v>
      </c>
      <c r="B56">
        <v>1117.5968619788343</v>
      </c>
      <c r="C56">
        <v>29.000949032862778</v>
      </c>
      <c r="D56">
        <v>955.01809333333324</v>
      </c>
      <c r="E56">
        <v>2924.4758666666662</v>
      </c>
      <c r="F56">
        <v>1969.4577733333335</v>
      </c>
      <c r="G56">
        <v>0.38936372269705599</v>
      </c>
      <c r="H56">
        <v>17.767918620196962</v>
      </c>
      <c r="I56">
        <v>1.0188381040273276</v>
      </c>
      <c r="J56">
        <v>0.11589524360214071</v>
      </c>
      <c r="K56">
        <v>0</v>
      </c>
      <c r="L56">
        <f t="shared" si="0"/>
        <v>3.2943466736422815</v>
      </c>
      <c r="M56" t="s">
        <v>31</v>
      </c>
      <c r="N56">
        <v>361</v>
      </c>
      <c r="O56">
        <v>15</v>
      </c>
      <c r="P56">
        <v>1086</v>
      </c>
      <c r="Q56">
        <v>346.82121019792999</v>
      </c>
      <c r="R56">
        <v>437.73638608282403</v>
      </c>
      <c r="S56" t="s">
        <v>144</v>
      </c>
      <c r="T56">
        <v>2</v>
      </c>
      <c r="U56">
        <v>244.887963756581</v>
      </c>
      <c r="V56">
        <v>0.65017754377372305</v>
      </c>
      <c r="W56">
        <v>4175.7725</v>
      </c>
      <c r="X56">
        <v>0.104827642330329</v>
      </c>
      <c r="Y56">
        <v>11.70053195953369</v>
      </c>
      <c r="Z56">
        <v>8.3195171356201172</v>
      </c>
      <c r="AA56">
        <f t="shared" si="1"/>
        <v>-0.22529600265193317</v>
      </c>
      <c r="AB56">
        <f t="shared" si="2"/>
        <v>1.0356739925892946</v>
      </c>
      <c r="AC56" s="13">
        <f t="shared" si="3"/>
        <v>-0.11741830611824566</v>
      </c>
      <c r="AD56" s="13"/>
      <c r="AE56" s="13"/>
      <c r="AF56" s="13"/>
    </row>
    <row r="57" spans="1:32">
      <c r="A57" s="1" t="s">
        <v>145</v>
      </c>
      <c r="B57">
        <v>822.48750157738505</v>
      </c>
      <c r="C57">
        <v>188.286847305051</v>
      </c>
      <c r="D57">
        <v>10742.368333333334</v>
      </c>
      <c r="E57">
        <v>12740.644533333332</v>
      </c>
      <c r="F57">
        <v>1998.2761999999993</v>
      </c>
      <c r="G57">
        <v>0.41714285714285715</v>
      </c>
      <c r="H57">
        <v>15.70246855571628</v>
      </c>
      <c r="I57">
        <v>24.700370369826135</v>
      </c>
      <c r="J57">
        <v>11.544167742012025</v>
      </c>
      <c r="K57">
        <v>0</v>
      </c>
      <c r="L57">
        <f t="shared" si="0"/>
        <v>3.3006555158447579</v>
      </c>
      <c r="M57" t="s">
        <v>31</v>
      </c>
      <c r="N57">
        <v>360</v>
      </c>
      <c r="O57">
        <v>12</v>
      </c>
      <c r="P57">
        <v>1083</v>
      </c>
      <c r="Q57">
        <v>278.22554701750897</v>
      </c>
      <c r="R57">
        <v>351.159161799407</v>
      </c>
      <c r="S57" t="s">
        <v>146</v>
      </c>
      <c r="T57">
        <v>5</v>
      </c>
      <c r="U57">
        <v>612.21990939145303</v>
      </c>
      <c r="V57">
        <v>2.0318048242928799</v>
      </c>
      <c r="W57">
        <v>16289.757</v>
      </c>
      <c r="X57">
        <v>2.1557053417027999E-2</v>
      </c>
      <c r="Y57">
        <v>11.542269706726071</v>
      </c>
      <c r="Z57">
        <v>7.5968732833862296</v>
      </c>
      <c r="AA57">
        <f t="shared" si="1"/>
        <v>-0.22339451764225257</v>
      </c>
      <c r="AB57">
        <f t="shared" si="2"/>
        <v>0.82300611308238769</v>
      </c>
      <c r="AC57" s="13">
        <f t="shared" si="3"/>
        <v>-0.18397225093373487</v>
      </c>
      <c r="AD57" s="13"/>
      <c r="AE57" s="13"/>
      <c r="AF57" s="13"/>
    </row>
    <row r="58" spans="1:32">
      <c r="A58" s="1" t="s">
        <v>147</v>
      </c>
      <c r="B58">
        <v>159.72094446505892</v>
      </c>
      <c r="C58">
        <v>34.261504276276469</v>
      </c>
      <c r="D58">
        <v>14142.521666666667</v>
      </c>
      <c r="E58">
        <v>16199.132666666666</v>
      </c>
      <c r="F58">
        <v>2056.610999999999</v>
      </c>
      <c r="G58">
        <v>0.44715447154471544</v>
      </c>
      <c r="H58">
        <v>0.26295647520290272</v>
      </c>
      <c r="I58">
        <v>19.154461927663053</v>
      </c>
      <c r="J58">
        <v>4.1955840023901567</v>
      </c>
      <c r="K58">
        <v>1</v>
      </c>
      <c r="L58">
        <f t="shared" si="0"/>
        <v>3.3131521543443694</v>
      </c>
      <c r="M58" t="s">
        <v>31</v>
      </c>
      <c r="N58">
        <v>338</v>
      </c>
      <c r="O58">
        <v>7</v>
      </c>
      <c r="P58">
        <v>1017</v>
      </c>
      <c r="Q58">
        <v>172.83086462960799</v>
      </c>
      <c r="R58">
        <v>218.136480301647</v>
      </c>
      <c r="S58" t="s">
        <v>148</v>
      </c>
      <c r="T58">
        <v>3</v>
      </c>
      <c r="U58">
        <v>367.331945634872</v>
      </c>
      <c r="V58">
        <v>2.0898563907012502</v>
      </c>
      <c r="W58">
        <v>19337.026999999998</v>
      </c>
      <c r="X58">
        <v>1.12807661850835E-2</v>
      </c>
      <c r="Y58">
        <v>10.737874984741209</v>
      </c>
      <c r="Z58">
        <v>11.36294555664062</v>
      </c>
      <c r="AA58">
        <f t="shared" si="1"/>
        <v>-0.2195454960066954</v>
      </c>
      <c r="AB58">
        <f t="shared" si="2"/>
        <v>-0.76671437992290914</v>
      </c>
      <c r="AC58" s="13">
        <f t="shared" si="3"/>
        <v>-0.28622990907519708</v>
      </c>
      <c r="AD58" s="13"/>
      <c r="AE58" s="13"/>
      <c r="AF58" s="13"/>
    </row>
    <row r="59" spans="1:32">
      <c r="A59" s="1" t="s">
        <v>149</v>
      </c>
      <c r="B59">
        <v>6515.408114460527</v>
      </c>
      <c r="C59">
        <v>60.50095681118141</v>
      </c>
      <c r="D59">
        <v>387.57595766666662</v>
      </c>
      <c r="E59">
        <v>2453.6219000000001</v>
      </c>
      <c r="F59">
        <v>2066.0459423333332</v>
      </c>
      <c r="G59">
        <v>0.51471984805318138</v>
      </c>
      <c r="H59">
        <v>4.6552411589573267E-2</v>
      </c>
      <c r="I59">
        <v>4.1794439873622515</v>
      </c>
      <c r="J59">
        <v>0.27786703361077636</v>
      </c>
      <c r="K59">
        <v>1</v>
      </c>
      <c r="L59">
        <f t="shared" si="0"/>
        <v>3.3151399746279435</v>
      </c>
      <c r="M59" t="s">
        <v>31</v>
      </c>
      <c r="N59">
        <v>361</v>
      </c>
      <c r="O59">
        <v>0</v>
      </c>
      <c r="P59">
        <v>1086</v>
      </c>
      <c r="Q59">
        <v>0</v>
      </c>
      <c r="R59">
        <v>0</v>
      </c>
      <c r="S59" t="s">
        <v>150</v>
      </c>
      <c r="T59">
        <v>0</v>
      </c>
      <c r="U59">
        <v>0</v>
      </c>
      <c r="W59">
        <v>3022.9895000000001</v>
      </c>
      <c r="X59">
        <v>0</v>
      </c>
      <c r="Y59">
        <v>10.540945053100589</v>
      </c>
      <c r="Z59">
        <v>10.128364562988279</v>
      </c>
      <c r="AA59">
        <f t="shared" si="1"/>
        <v>-0.21892296370742914</v>
      </c>
      <c r="AB59">
        <f t="shared" si="2"/>
        <v>-0.78899630003163668</v>
      </c>
      <c r="AC59" s="13">
        <f t="shared" si="3"/>
        <v>-0.45391654251028785</v>
      </c>
      <c r="AD59" s="13"/>
      <c r="AE59" s="13"/>
      <c r="AF59" s="13"/>
    </row>
    <row r="60" spans="1:32">
      <c r="A60" s="1" t="s">
        <v>151</v>
      </c>
      <c r="B60">
        <v>569.46835006499202</v>
      </c>
      <c r="C60">
        <v>45.911279195341173</v>
      </c>
      <c r="D60">
        <v>11.743848</v>
      </c>
      <c r="E60">
        <v>2150.5022666666664</v>
      </c>
      <c r="F60">
        <v>2138.7584186666668</v>
      </c>
      <c r="G60">
        <v>0.46802325581395349</v>
      </c>
      <c r="H60">
        <v>2.7878890344407288</v>
      </c>
      <c r="I60">
        <v>0.47665639130401966</v>
      </c>
      <c r="J60">
        <v>0.13644784621338885</v>
      </c>
      <c r="K60">
        <v>0</v>
      </c>
      <c r="L60">
        <f t="shared" si="0"/>
        <v>3.3301617320398793</v>
      </c>
      <c r="M60" t="s">
        <v>31</v>
      </c>
      <c r="N60">
        <v>354</v>
      </c>
      <c r="O60">
        <v>1</v>
      </c>
      <c r="P60">
        <v>1065</v>
      </c>
      <c r="Q60">
        <v>23.5773292190893</v>
      </c>
      <c r="R60">
        <v>29.757853852015401</v>
      </c>
      <c r="S60" t="s">
        <v>152</v>
      </c>
      <c r="T60">
        <v>0</v>
      </c>
      <c r="U60">
        <v>0</v>
      </c>
      <c r="V60">
        <v>0</v>
      </c>
      <c r="W60">
        <v>1563.9425000000001</v>
      </c>
      <c r="X60">
        <v>1.9027460313928001E-2</v>
      </c>
      <c r="Y60">
        <v>11.32660388946533</v>
      </c>
      <c r="Z60">
        <v>8.5519418716430664</v>
      </c>
      <c r="AA60">
        <f t="shared" si="1"/>
        <v>-0.21412528042777546</v>
      </c>
      <c r="AB60">
        <f t="shared" si="2"/>
        <v>-0.50673614926737043</v>
      </c>
      <c r="AC60" s="13">
        <f t="shared" si="3"/>
        <v>-0.43104098165133592</v>
      </c>
      <c r="AD60" s="13"/>
      <c r="AE60" s="13"/>
      <c r="AF60" s="13"/>
    </row>
    <row r="61" spans="1:32">
      <c r="A61" s="1" t="s">
        <v>153</v>
      </c>
      <c r="B61">
        <v>2035.9758534338855</v>
      </c>
      <c r="C61">
        <v>275.71734905386302</v>
      </c>
      <c r="D61">
        <v>17159.539966666667</v>
      </c>
      <c r="E61">
        <v>19390.333833333334</v>
      </c>
      <c r="F61">
        <v>2230.7938666666691</v>
      </c>
      <c r="G61">
        <v>0.41074681238615662</v>
      </c>
      <c r="H61">
        <v>0.19813034467043886</v>
      </c>
      <c r="I61">
        <v>14.36525685050713</v>
      </c>
      <c r="J61">
        <v>3.3625562482723801</v>
      </c>
      <c r="K61">
        <v>1</v>
      </c>
      <c r="L61">
        <f t="shared" si="0"/>
        <v>3.3484594417741214</v>
      </c>
      <c r="M61" t="s">
        <v>31</v>
      </c>
      <c r="N61">
        <v>376</v>
      </c>
      <c r="O61">
        <v>12</v>
      </c>
      <c r="P61">
        <v>1131</v>
      </c>
      <c r="Q61">
        <v>266.41756624223001</v>
      </c>
      <c r="R61">
        <v>336.25585519783999</v>
      </c>
      <c r="S61" t="s">
        <v>154</v>
      </c>
      <c r="T61">
        <v>1</v>
      </c>
      <c r="U61">
        <v>122.44398187829</v>
      </c>
      <c r="V61">
        <v>0.40636096485857698</v>
      </c>
      <c r="W61">
        <v>32775.266000000003</v>
      </c>
      <c r="X61">
        <v>1.02594393954831E-2</v>
      </c>
      <c r="Y61">
        <v>10.40973567962646</v>
      </c>
      <c r="Z61">
        <v>7.2810420989990234</v>
      </c>
      <c r="AA61">
        <f t="shared" si="1"/>
        <v>-0.20805263715840266</v>
      </c>
      <c r="AB61">
        <f t="shared" si="2"/>
        <v>-0.77338916521743695</v>
      </c>
      <c r="AC61" s="13">
        <f t="shared" si="3"/>
        <v>-0.1954287725921563</v>
      </c>
      <c r="AD61" s="13"/>
      <c r="AE61" s="13"/>
      <c r="AF61" s="13"/>
    </row>
    <row r="62" spans="1:32">
      <c r="A62" s="1" t="s">
        <v>155</v>
      </c>
      <c r="B62">
        <v>124.94373572677534</v>
      </c>
      <c r="C62">
        <v>25.395993520945897</v>
      </c>
      <c r="D62">
        <v>2956.5036333333333</v>
      </c>
      <c r="E62">
        <v>5238.5523666666668</v>
      </c>
      <c r="F62">
        <v>2282.0487333333335</v>
      </c>
      <c r="G62">
        <v>0.70396270396270388</v>
      </c>
      <c r="H62">
        <v>5.2998231798982311E-2</v>
      </c>
      <c r="I62">
        <v>0.11228551967045763</v>
      </c>
      <c r="J62">
        <v>4.7360501627098192E-2</v>
      </c>
      <c r="K62">
        <v>1</v>
      </c>
      <c r="L62">
        <f t="shared" si="0"/>
        <v>3.3583249145746428</v>
      </c>
      <c r="M62" t="s">
        <v>31</v>
      </c>
      <c r="N62">
        <v>582</v>
      </c>
      <c r="O62">
        <v>8</v>
      </c>
      <c r="P62">
        <v>1749</v>
      </c>
      <c r="Q62">
        <v>114.853541993505</v>
      </c>
      <c r="R62">
        <v>144.96107193777701</v>
      </c>
      <c r="S62" t="s">
        <v>156</v>
      </c>
      <c r="T62">
        <v>0</v>
      </c>
      <c r="U62">
        <v>0</v>
      </c>
      <c r="V62">
        <v>0</v>
      </c>
      <c r="W62">
        <v>6582.7250000000004</v>
      </c>
      <c r="X62">
        <v>2.2021438224713401E-2</v>
      </c>
      <c r="Y62">
        <v>8.544276237487793</v>
      </c>
      <c r="Z62">
        <v>6.6791372299194336</v>
      </c>
      <c r="AA62">
        <f t="shared" si="1"/>
        <v>-0.2046707606331109</v>
      </c>
      <c r="AB62">
        <f t="shared" si="2"/>
        <v>-0.788332609856216</v>
      </c>
      <c r="AC62" s="13">
        <f t="shared" si="3"/>
        <v>-0.34248156336890989</v>
      </c>
      <c r="AD62" s="13"/>
      <c r="AE62" s="13"/>
      <c r="AF62" s="13"/>
    </row>
    <row r="63" spans="1:32">
      <c r="A63" s="1" t="s">
        <v>157</v>
      </c>
      <c r="B63">
        <v>6354.6548742647747</v>
      </c>
      <c r="C63">
        <v>60.195810861559472</v>
      </c>
      <c r="D63">
        <v>4903.1520999999993</v>
      </c>
      <c r="E63">
        <v>7202.326</v>
      </c>
      <c r="F63">
        <v>2299.1739000000002</v>
      </c>
      <c r="G63">
        <v>0.67153284671532842</v>
      </c>
      <c r="H63">
        <v>8.2080682160610333E-2</v>
      </c>
      <c r="I63">
        <v>7.8301661022722584</v>
      </c>
      <c r="J63">
        <v>2.1124385137132542</v>
      </c>
      <c r="K63">
        <v>1</v>
      </c>
      <c r="L63">
        <f t="shared" si="0"/>
        <v>3.3615718207491296</v>
      </c>
      <c r="M63" t="s">
        <v>31</v>
      </c>
      <c r="N63">
        <v>421</v>
      </c>
      <c r="O63">
        <v>8</v>
      </c>
      <c r="P63">
        <v>1266</v>
      </c>
      <c r="Q63">
        <v>158.67207341756799</v>
      </c>
      <c r="R63">
        <v>200.26612544958201</v>
      </c>
      <c r="S63" t="s">
        <v>158</v>
      </c>
      <c r="T63">
        <v>2</v>
      </c>
      <c r="U63">
        <v>244.887963756581</v>
      </c>
      <c r="V63">
        <v>1.2190828945757299</v>
      </c>
      <c r="W63">
        <v>7096.3010000000004</v>
      </c>
      <c r="X63">
        <v>2.8221199389595001E-2</v>
      </c>
      <c r="Y63">
        <v>10.63743877410889</v>
      </c>
      <c r="Z63">
        <v>8.2178640365600586</v>
      </c>
      <c r="AA63">
        <f t="shared" si="1"/>
        <v>-0.20354081526580831</v>
      </c>
      <c r="AB63">
        <f t="shared" si="2"/>
        <v>-0.78533815205951907</v>
      </c>
      <c r="AC63" s="13">
        <f t="shared" si="3"/>
        <v>-0.29996727037895232</v>
      </c>
      <c r="AD63" s="13"/>
      <c r="AE63" s="13"/>
      <c r="AF63" s="13"/>
    </row>
    <row r="64" spans="1:32">
      <c r="A64" s="1" t="s">
        <v>159</v>
      </c>
      <c r="B64">
        <v>432.83425518176699</v>
      </c>
      <c r="C64">
        <v>42.84718186470171</v>
      </c>
      <c r="D64">
        <v>41.850468666666664</v>
      </c>
      <c r="E64">
        <v>2380.0342000000001</v>
      </c>
      <c r="F64">
        <v>2338.1837313333331</v>
      </c>
      <c r="G64">
        <v>0.66574585635359118</v>
      </c>
      <c r="H64">
        <v>0.14537177963940717</v>
      </c>
      <c r="I64">
        <v>15.805892182646469</v>
      </c>
      <c r="J64">
        <v>7.2276705470023996</v>
      </c>
      <c r="K64">
        <v>1</v>
      </c>
      <c r="L64">
        <f t="shared" si="0"/>
        <v>3.3688786344430599</v>
      </c>
      <c r="M64" t="s">
        <v>31</v>
      </c>
      <c r="N64">
        <v>372</v>
      </c>
      <c r="O64">
        <v>16</v>
      </c>
      <c r="P64">
        <v>1119</v>
      </c>
      <c r="Q64">
        <v>359.03278810838498</v>
      </c>
      <c r="R64">
        <v>453.14908814865402</v>
      </c>
      <c r="S64" t="s">
        <v>160</v>
      </c>
      <c r="T64">
        <v>2</v>
      </c>
      <c r="U64">
        <v>244.887963756581</v>
      </c>
      <c r="V64">
        <v>0.60954144728786497</v>
      </c>
      <c r="W64">
        <v>3250.1876999999999</v>
      </c>
      <c r="X64">
        <v>0.13942243647917699</v>
      </c>
      <c r="Y64">
        <v>11.176193237304689</v>
      </c>
      <c r="Z64">
        <v>11.957309722900391</v>
      </c>
      <c r="AA64">
        <f t="shared" si="1"/>
        <v>-0.20096688538516355</v>
      </c>
      <c r="AB64">
        <f t="shared" si="2"/>
        <v>-0.77882142056164816</v>
      </c>
      <c r="AC64" s="13">
        <f t="shared" si="3"/>
        <v>-0.10557020020774778</v>
      </c>
      <c r="AD64" s="13"/>
      <c r="AE64" s="13"/>
      <c r="AF64" s="13"/>
    </row>
    <row r="65" spans="1:32">
      <c r="A65" s="1" t="s">
        <v>161</v>
      </c>
      <c r="B65">
        <v>1461.0761091456004</v>
      </c>
      <c r="C65">
        <v>306.95869027413539</v>
      </c>
      <c r="D65">
        <v>146.22436666666667</v>
      </c>
      <c r="E65">
        <v>2572.1338000000001</v>
      </c>
      <c r="F65">
        <v>2425.9094333333333</v>
      </c>
      <c r="G65">
        <v>0.51868460388639759</v>
      </c>
      <c r="H65">
        <v>0.23857634077245335</v>
      </c>
      <c r="I65">
        <v>5.4536115167377668</v>
      </c>
      <c r="J65">
        <v>0.53404313545447679</v>
      </c>
      <c r="K65">
        <v>1</v>
      </c>
      <c r="L65">
        <f t="shared" si="0"/>
        <v>3.3848745832833274</v>
      </c>
      <c r="M65" t="s">
        <v>31</v>
      </c>
      <c r="N65">
        <v>456</v>
      </c>
      <c r="O65">
        <v>39</v>
      </c>
      <c r="P65">
        <v>1371</v>
      </c>
      <c r="Q65">
        <v>714.28473312536596</v>
      </c>
      <c r="R65">
        <v>901.52622884278799</v>
      </c>
      <c r="S65" t="s">
        <v>162</v>
      </c>
      <c r="T65">
        <v>0</v>
      </c>
      <c r="U65">
        <v>0</v>
      </c>
      <c r="V65">
        <v>0</v>
      </c>
      <c r="W65">
        <v>3053.9612000000002</v>
      </c>
      <c r="X65">
        <v>0.29519897922828497</v>
      </c>
      <c r="Y65">
        <v>8.861109733581543</v>
      </c>
      <c r="Z65">
        <v>6.9790449142456046</v>
      </c>
      <c r="AA65">
        <f t="shared" si="1"/>
        <v>-0.19517860591917682</v>
      </c>
      <c r="AB65">
        <f t="shared" si="2"/>
        <v>-0.76922466646073484</v>
      </c>
      <c r="AC65" s="13">
        <f t="shared" si="3"/>
        <v>0.23910783405905708</v>
      </c>
      <c r="AD65" s="13"/>
      <c r="AE65" s="13"/>
      <c r="AF65" s="13"/>
    </row>
    <row r="66" spans="1:32">
      <c r="A66" s="1" t="s">
        <v>163</v>
      </c>
      <c r="B66">
        <v>283.83041301318099</v>
      </c>
      <c r="C66">
        <v>15.864441233321591</v>
      </c>
      <c r="D66">
        <v>233.37786000000003</v>
      </c>
      <c r="E66">
        <v>2673.7230666666665</v>
      </c>
      <c r="F66">
        <v>2440.3452066666664</v>
      </c>
      <c r="G66">
        <v>0.66028368794326242</v>
      </c>
      <c r="H66">
        <v>0.10301809161793178</v>
      </c>
      <c r="I66">
        <v>12.806495470585395</v>
      </c>
      <c r="J66">
        <v>3.2571195224384724</v>
      </c>
      <c r="K66">
        <v>1</v>
      </c>
      <c r="L66">
        <f t="shared" ref="L66:L129" si="4">LOG10(F66)</f>
        <v>3.38745126516912</v>
      </c>
      <c r="M66" t="s">
        <v>31</v>
      </c>
      <c r="N66">
        <v>480</v>
      </c>
      <c r="O66">
        <v>6</v>
      </c>
      <c r="P66">
        <v>1443</v>
      </c>
      <c r="Q66">
        <v>104.406884067901</v>
      </c>
      <c r="R66">
        <v>131.775943253207</v>
      </c>
      <c r="S66" t="s">
        <v>164</v>
      </c>
      <c r="T66">
        <v>0</v>
      </c>
      <c r="U66">
        <v>0</v>
      </c>
      <c r="V66">
        <v>0</v>
      </c>
      <c r="W66">
        <v>4373.3603999999996</v>
      </c>
      <c r="X66">
        <v>3.01315078567976E-2</v>
      </c>
      <c r="Y66">
        <v>8.6234073638916016</v>
      </c>
      <c r="Z66">
        <v>6.7372770309448242</v>
      </c>
      <c r="AA66">
        <f t="shared" ref="AA66:AA129" si="5">(F66-AVERAGE(F:F))/_xlfn.STDEV.P(F:F)</f>
        <v>-0.19422611094386194</v>
      </c>
      <c r="AB66">
        <f t="shared" ref="AB66:AB129" si="6">(H66-AVERAGE(H:H))/_xlfn.STDEV.P(H:H)</f>
        <v>-0.78318234372107065</v>
      </c>
      <c r="AC66" s="13">
        <f t="shared" ref="AC66:AC129" si="7">(Q66-AVERAGE(Q:Q))/_xlfn.STDEV.P(Q:Q)</f>
        <v>-0.35261728132615516</v>
      </c>
      <c r="AD66" s="13"/>
      <c r="AE66" s="13"/>
      <c r="AF66" s="13"/>
    </row>
    <row r="67" spans="1:32">
      <c r="A67" s="1" t="s">
        <v>165</v>
      </c>
      <c r="B67">
        <v>939.14079189316146</v>
      </c>
      <c r="C67">
        <v>111.53559185647204</v>
      </c>
      <c r="D67">
        <v>7237.6119666666664</v>
      </c>
      <c r="E67">
        <v>9682.1279999999988</v>
      </c>
      <c r="F67">
        <v>2444.5160333333333</v>
      </c>
      <c r="G67">
        <v>0.40625</v>
      </c>
      <c r="H67">
        <v>18.675618849904073</v>
      </c>
      <c r="I67">
        <v>17.045303095612205</v>
      </c>
      <c r="J67">
        <v>2.3829985720970215</v>
      </c>
      <c r="K67">
        <v>0</v>
      </c>
      <c r="L67">
        <f t="shared" si="4"/>
        <v>3.3881928901027618</v>
      </c>
      <c r="M67" t="s">
        <v>31</v>
      </c>
      <c r="N67">
        <v>394</v>
      </c>
      <c r="O67">
        <v>3</v>
      </c>
      <c r="P67">
        <v>1185</v>
      </c>
      <c r="Q67">
        <v>63.569254729949797</v>
      </c>
      <c r="R67">
        <v>80.233200892143003</v>
      </c>
      <c r="S67" t="s">
        <v>166</v>
      </c>
      <c r="T67">
        <v>0</v>
      </c>
      <c r="U67">
        <v>0</v>
      </c>
      <c r="V67">
        <v>0</v>
      </c>
      <c r="W67">
        <v>11635.056</v>
      </c>
      <c r="X67">
        <v>6.89581561894872E-3</v>
      </c>
      <c r="Y67">
        <v>10.97141742706299</v>
      </c>
      <c r="Z67">
        <v>8.4324665069580078</v>
      </c>
      <c r="AA67">
        <f t="shared" si="5"/>
        <v>-0.19395091325606392</v>
      </c>
      <c r="AB67">
        <f t="shared" si="6"/>
        <v>1.1291348253634237</v>
      </c>
      <c r="AC67" s="13">
        <f t="shared" si="7"/>
        <v>-0.39223939740956915</v>
      </c>
      <c r="AD67" s="13"/>
      <c r="AE67" s="13"/>
      <c r="AF67" s="13"/>
    </row>
    <row r="68" spans="1:32">
      <c r="A68" s="1" t="s">
        <v>167</v>
      </c>
      <c r="B68">
        <v>2599.5783421978708</v>
      </c>
      <c r="C68">
        <v>561.211494237696</v>
      </c>
      <c r="D68">
        <v>2078.0430000000001</v>
      </c>
      <c r="E68">
        <v>4780.0194000000001</v>
      </c>
      <c r="F68">
        <v>2701.9764</v>
      </c>
      <c r="G68">
        <v>0.69103942652329753</v>
      </c>
      <c r="H68">
        <v>7.8817716005272057E-2</v>
      </c>
      <c r="I68">
        <v>9.9885502511507305</v>
      </c>
      <c r="J68">
        <v>2.8594641495483311</v>
      </c>
      <c r="K68">
        <v>1</v>
      </c>
      <c r="L68">
        <f t="shared" si="4"/>
        <v>3.4316815514237864</v>
      </c>
      <c r="M68" t="s">
        <v>31</v>
      </c>
      <c r="N68">
        <v>475</v>
      </c>
      <c r="O68">
        <v>12</v>
      </c>
      <c r="P68">
        <v>1428</v>
      </c>
      <c r="Q68">
        <v>211.007190070001</v>
      </c>
      <c r="R68">
        <v>266.32028867560001</v>
      </c>
      <c r="S68" t="s">
        <v>168</v>
      </c>
      <c r="T68">
        <v>0</v>
      </c>
      <c r="U68">
        <v>0</v>
      </c>
      <c r="V68">
        <v>0</v>
      </c>
      <c r="W68">
        <v>5158.174</v>
      </c>
      <c r="X68">
        <v>5.1630729920239302E-2</v>
      </c>
      <c r="Y68">
        <v>9.5468349456787109</v>
      </c>
      <c r="Z68">
        <v>7.3048095703125</v>
      </c>
      <c r="AA68">
        <f t="shared" si="5"/>
        <v>-0.17696327428929812</v>
      </c>
      <c r="AB68">
        <f t="shared" si="6"/>
        <v>-0.785674121495475</v>
      </c>
      <c r="AC68" s="13">
        <f t="shared" si="7"/>
        <v>-0.24918988440286061</v>
      </c>
      <c r="AD68" s="13"/>
      <c r="AE68" s="13"/>
      <c r="AF68" s="13"/>
    </row>
    <row r="69" spans="1:32">
      <c r="A69" s="1" t="s">
        <v>169</v>
      </c>
      <c r="B69">
        <v>2787.7393148765404</v>
      </c>
      <c r="C69">
        <v>718.76158493498599</v>
      </c>
      <c r="D69">
        <v>8365.6496666666662</v>
      </c>
      <c r="E69">
        <v>11102.284</v>
      </c>
      <c r="F69">
        <v>2736.6343333333334</v>
      </c>
      <c r="G69">
        <v>0.53188054882970137</v>
      </c>
      <c r="H69">
        <v>0.20080587059126298</v>
      </c>
      <c r="I69">
        <v>26.381881082845183</v>
      </c>
      <c r="J69">
        <v>9.6109560563443619</v>
      </c>
      <c r="K69">
        <v>1</v>
      </c>
      <c r="L69">
        <f t="shared" si="4"/>
        <v>3.4372167712409958</v>
      </c>
      <c r="M69" t="s">
        <v>31</v>
      </c>
      <c r="N69">
        <v>423</v>
      </c>
      <c r="O69">
        <v>5</v>
      </c>
      <c r="P69">
        <v>1272</v>
      </c>
      <c r="Q69">
        <v>98.702262650668999</v>
      </c>
      <c r="R69">
        <v>124.57592119652701</v>
      </c>
      <c r="S69" t="s">
        <v>170</v>
      </c>
      <c r="T69">
        <v>2</v>
      </c>
      <c r="U69">
        <v>244.887963756581</v>
      </c>
      <c r="V69">
        <v>1.9505326313211699</v>
      </c>
      <c r="W69">
        <v>10788.647000000001</v>
      </c>
      <c r="X69">
        <v>1.1546945710294E-2</v>
      </c>
      <c r="Y69">
        <v>10.66857814788818</v>
      </c>
      <c r="Z69">
        <v>6.6165976524353027</v>
      </c>
      <c r="AA69">
        <f t="shared" si="5"/>
        <v>-0.17467648946713882</v>
      </c>
      <c r="AB69">
        <f t="shared" si="6"/>
        <v>-0.77311368122780555</v>
      </c>
      <c r="AC69" s="13">
        <f t="shared" si="7"/>
        <v>-0.35815210731066555</v>
      </c>
      <c r="AD69" s="13"/>
      <c r="AE69" s="13"/>
      <c r="AF69" s="13"/>
    </row>
    <row r="70" spans="1:32">
      <c r="A70" s="1" t="s">
        <v>171</v>
      </c>
      <c r="B70">
        <v>194.02816225614001</v>
      </c>
      <c r="C70">
        <v>8.5250450070160984</v>
      </c>
      <c r="D70">
        <v>2206.4953433333335</v>
      </c>
      <c r="E70">
        <v>5138.6883333333335</v>
      </c>
      <c r="F70">
        <v>2932.1929899999996</v>
      </c>
      <c r="G70">
        <v>0.39566755083996463</v>
      </c>
      <c r="H70">
        <v>0.34268235769325789</v>
      </c>
      <c r="I70">
        <v>32.83304487911618</v>
      </c>
      <c r="J70">
        <v>19.547647024624563</v>
      </c>
      <c r="K70">
        <v>1</v>
      </c>
      <c r="L70">
        <f t="shared" si="4"/>
        <v>3.4671925511443176</v>
      </c>
      <c r="M70" t="s">
        <v>31</v>
      </c>
      <c r="N70">
        <v>764</v>
      </c>
      <c r="O70">
        <v>9</v>
      </c>
      <c r="P70">
        <v>2295</v>
      </c>
      <c r="Q70">
        <v>98.470022032667401</v>
      </c>
      <c r="R70">
        <v>124.282801381947</v>
      </c>
      <c r="S70" t="s">
        <v>172</v>
      </c>
      <c r="T70">
        <v>0</v>
      </c>
      <c r="U70">
        <v>0</v>
      </c>
      <c r="V70">
        <v>0</v>
      </c>
      <c r="W70">
        <v>7506.72</v>
      </c>
      <c r="X70">
        <v>1.6556205823841399E-2</v>
      </c>
      <c r="Y70">
        <v>5.9937834739685059</v>
      </c>
      <c r="Z70">
        <v>7.8506078720092773</v>
      </c>
      <c r="AA70">
        <f t="shared" si="5"/>
        <v>-0.16177322245447229</v>
      </c>
      <c r="AB70">
        <f t="shared" si="6"/>
        <v>-0.75850545022636684</v>
      </c>
      <c r="AC70" s="13">
        <f t="shared" si="7"/>
        <v>-0.35837743539348821</v>
      </c>
      <c r="AD70" s="13"/>
      <c r="AE70" s="13"/>
      <c r="AF70" s="13"/>
    </row>
    <row r="71" spans="1:32">
      <c r="A71" s="1" t="s">
        <v>173</v>
      </c>
      <c r="B71">
        <v>4059.5212142499763</v>
      </c>
      <c r="C71">
        <v>289.98372265117263</v>
      </c>
      <c r="D71">
        <v>2298.2424000000001</v>
      </c>
      <c r="E71">
        <v>5246.4540000000006</v>
      </c>
      <c r="F71">
        <v>2948.2116000000001</v>
      </c>
      <c r="G71">
        <v>0.48961156278229445</v>
      </c>
      <c r="H71">
        <v>0.30056487006896365</v>
      </c>
      <c r="I71">
        <v>25.478955797477813</v>
      </c>
      <c r="J71">
        <v>8.8041832674937481</v>
      </c>
      <c r="K71">
        <v>1</v>
      </c>
      <c r="L71">
        <f t="shared" si="4"/>
        <v>3.4695586506301859</v>
      </c>
      <c r="M71" t="s">
        <v>31</v>
      </c>
      <c r="N71">
        <v>379</v>
      </c>
      <c r="O71">
        <v>19</v>
      </c>
      <c r="P71">
        <v>1140</v>
      </c>
      <c r="Q71">
        <v>418.49759363883601</v>
      </c>
      <c r="R71">
        <v>528.201905873275</v>
      </c>
      <c r="S71" t="s">
        <v>174</v>
      </c>
      <c r="T71">
        <v>0</v>
      </c>
      <c r="U71">
        <v>0</v>
      </c>
      <c r="V71">
        <v>0</v>
      </c>
      <c r="W71">
        <v>6205.6220000000003</v>
      </c>
      <c r="X71">
        <v>8.5116674182422802E-2</v>
      </c>
      <c r="Y71">
        <v>9.9684057235717773</v>
      </c>
      <c r="Z71">
        <v>10.152475357055661</v>
      </c>
      <c r="AA71">
        <f t="shared" si="5"/>
        <v>-0.16071628943230448</v>
      </c>
      <c r="AB71">
        <f t="shared" si="6"/>
        <v>-0.76284205314756559</v>
      </c>
      <c r="AC71" s="13">
        <f t="shared" si="7"/>
        <v>-4.7875337263889803E-2</v>
      </c>
      <c r="AD71" s="13"/>
      <c r="AE71" s="13"/>
      <c r="AF71" s="13"/>
    </row>
    <row r="72" spans="1:32">
      <c r="A72" s="1" t="s">
        <v>175</v>
      </c>
      <c r="B72">
        <v>296.15584233456434</v>
      </c>
      <c r="C72">
        <v>14.728191191796661</v>
      </c>
      <c r="D72">
        <v>1343.4927866666667</v>
      </c>
      <c r="E72">
        <v>4423.930566666666</v>
      </c>
      <c r="F72">
        <v>3080.4377799999997</v>
      </c>
      <c r="G72">
        <v>0.41340782122905029</v>
      </c>
      <c r="H72">
        <v>0.16414436984653061</v>
      </c>
      <c r="I72">
        <v>10.484642651049576</v>
      </c>
      <c r="J72">
        <v>2.4071249260695038</v>
      </c>
      <c r="K72">
        <v>1</v>
      </c>
      <c r="L72">
        <f t="shared" si="4"/>
        <v>3.4886124411522945</v>
      </c>
      <c r="M72" t="s">
        <v>31</v>
      </c>
      <c r="N72">
        <v>368</v>
      </c>
      <c r="O72">
        <v>4</v>
      </c>
      <c r="P72">
        <v>1107</v>
      </c>
      <c r="Q72">
        <v>90.731185612755894</v>
      </c>
      <c r="R72">
        <v>114.51531834650901</v>
      </c>
      <c r="S72" t="s">
        <v>176</v>
      </c>
      <c r="T72">
        <v>0</v>
      </c>
      <c r="U72">
        <v>0</v>
      </c>
      <c r="V72">
        <v>0</v>
      </c>
      <c r="W72">
        <v>5654.1166999999996</v>
      </c>
      <c r="X72">
        <v>2.02534408860909E-2</v>
      </c>
      <c r="Y72">
        <v>9.076237678527832</v>
      </c>
      <c r="Z72">
        <v>11.110097885131839</v>
      </c>
      <c r="AA72">
        <f t="shared" si="5"/>
        <v>-0.15199179860338111</v>
      </c>
      <c r="AB72">
        <f t="shared" si="6"/>
        <v>-0.77688851159383698</v>
      </c>
      <c r="AC72" s="13">
        <f t="shared" si="7"/>
        <v>-0.3658859289067326</v>
      </c>
      <c r="AD72" s="13"/>
      <c r="AE72" s="13"/>
      <c r="AF72" s="13"/>
    </row>
    <row r="73" spans="1:32">
      <c r="A73" s="1" t="s">
        <v>177</v>
      </c>
      <c r="B73">
        <v>6386.1997220797566</v>
      </c>
      <c r="C73">
        <v>124.63495977251276</v>
      </c>
      <c r="D73">
        <v>9200.8599999999988</v>
      </c>
      <c r="E73">
        <v>12352.114000000001</v>
      </c>
      <c r="F73">
        <v>3151.2539999999995</v>
      </c>
      <c r="G73">
        <v>0.65114155251141548</v>
      </c>
      <c r="H73">
        <v>0.11254868099329933</v>
      </c>
      <c r="I73">
        <v>23.111084136223354</v>
      </c>
      <c r="J73">
        <v>10.084116907069594</v>
      </c>
      <c r="K73">
        <v>1</v>
      </c>
      <c r="L73">
        <f t="shared" si="4"/>
        <v>3.4984834099504525</v>
      </c>
      <c r="M73" t="s">
        <v>31</v>
      </c>
      <c r="N73">
        <v>375</v>
      </c>
      <c r="O73">
        <v>6</v>
      </c>
      <c r="P73">
        <v>1128</v>
      </c>
      <c r="Q73">
        <v>133.563061799628</v>
      </c>
      <c r="R73">
        <v>168.575076342534</v>
      </c>
      <c r="S73" t="s">
        <v>178</v>
      </c>
      <c r="T73">
        <v>0</v>
      </c>
      <c r="U73">
        <v>0</v>
      </c>
      <c r="V73">
        <v>0</v>
      </c>
      <c r="W73">
        <v>14594.201999999999</v>
      </c>
      <c r="X73">
        <v>1.15508252073347E-2</v>
      </c>
      <c r="Y73">
        <v>8.144317626953125</v>
      </c>
      <c r="Z73">
        <v>11.757237434387211</v>
      </c>
      <c r="AA73">
        <f t="shared" si="5"/>
        <v>-0.14731923329196533</v>
      </c>
      <c r="AB73">
        <f t="shared" si="6"/>
        <v>-0.7822010320603503</v>
      </c>
      <c r="AC73" s="13">
        <f t="shared" si="7"/>
        <v>-0.32432892381462941</v>
      </c>
      <c r="AD73" s="13"/>
      <c r="AE73" s="13"/>
      <c r="AF73" s="13"/>
    </row>
    <row r="74" spans="1:32">
      <c r="A74" s="1" t="s">
        <v>179</v>
      </c>
      <c r="B74">
        <v>220.79758644558896</v>
      </c>
      <c r="C74">
        <v>21.001295495077493</v>
      </c>
      <c r="D74">
        <v>1250.8209333333332</v>
      </c>
      <c r="E74">
        <v>4710.0758000000005</v>
      </c>
      <c r="F74">
        <v>3459.2548666666676</v>
      </c>
      <c r="G74">
        <v>0.44206773618538325</v>
      </c>
      <c r="H74">
        <v>0.18949383204303083</v>
      </c>
      <c r="I74">
        <v>27.268245968298015</v>
      </c>
      <c r="J74">
        <v>13.37641050360171</v>
      </c>
      <c r="K74">
        <v>1</v>
      </c>
      <c r="L74">
        <f t="shared" si="4"/>
        <v>3.538982560600461</v>
      </c>
      <c r="M74" t="s">
        <v>31</v>
      </c>
      <c r="N74">
        <v>384</v>
      </c>
      <c r="O74">
        <v>41</v>
      </c>
      <c r="P74">
        <v>1155</v>
      </c>
      <c r="Q74">
        <v>891.34552411388495</v>
      </c>
      <c r="R74">
        <v>1125.00146185996</v>
      </c>
      <c r="S74" t="s">
        <v>180</v>
      </c>
      <c r="T74">
        <v>1</v>
      </c>
      <c r="U74">
        <v>122.44398187829</v>
      </c>
      <c r="V74">
        <v>0.11893491654397299</v>
      </c>
      <c r="W74">
        <v>6574.1940000000004</v>
      </c>
      <c r="X74">
        <v>0.17112386124595</v>
      </c>
      <c r="Y74">
        <v>12.08707237243652</v>
      </c>
      <c r="Z74">
        <v>10.530858039855961</v>
      </c>
      <c r="AA74">
        <f t="shared" si="5"/>
        <v>-0.12699685283346762</v>
      </c>
      <c r="AB74">
        <f t="shared" si="6"/>
        <v>-0.77427841877935599</v>
      </c>
      <c r="AC74" s="13">
        <f t="shared" si="7"/>
        <v>0.41089849204048251</v>
      </c>
      <c r="AD74" s="13"/>
      <c r="AE74" s="13"/>
      <c r="AF74" s="13"/>
    </row>
    <row r="75" spans="1:32">
      <c r="A75" s="1" t="s">
        <v>181</v>
      </c>
      <c r="B75">
        <v>682.8276618917829</v>
      </c>
      <c r="C75">
        <v>198.34238426572796</v>
      </c>
      <c r="D75">
        <v>1300.7136886666667</v>
      </c>
      <c r="E75">
        <v>4767.009</v>
      </c>
      <c r="F75">
        <v>3466.2953113333333</v>
      </c>
      <c r="G75">
        <v>0.50841750841750843</v>
      </c>
      <c r="H75">
        <v>5.3979903472910075E-2</v>
      </c>
      <c r="I75">
        <v>36.502180241750516</v>
      </c>
      <c r="J75">
        <v>14.961635371311846</v>
      </c>
      <c r="K75">
        <v>1</v>
      </c>
      <c r="L75">
        <f t="shared" si="4"/>
        <v>3.5398655597105964</v>
      </c>
      <c r="M75" t="s">
        <v>31</v>
      </c>
      <c r="N75">
        <v>307</v>
      </c>
      <c r="O75">
        <v>5</v>
      </c>
      <c r="P75">
        <v>924</v>
      </c>
      <c r="Q75">
        <v>135.87584209053099</v>
      </c>
      <c r="R75">
        <v>171.49412528353</v>
      </c>
      <c r="S75" t="s">
        <v>182</v>
      </c>
      <c r="T75">
        <v>0</v>
      </c>
      <c r="U75">
        <v>0</v>
      </c>
      <c r="V75">
        <v>0</v>
      </c>
      <c r="W75">
        <v>4478.5510000000004</v>
      </c>
      <c r="X75">
        <v>3.8292323852855699E-2</v>
      </c>
      <c r="Y75">
        <v>12.23800468444824</v>
      </c>
      <c r="Z75">
        <v>9.836878776550293</v>
      </c>
      <c r="AA75">
        <f t="shared" si="5"/>
        <v>-0.1265323132473897</v>
      </c>
      <c r="AB75">
        <f t="shared" si="6"/>
        <v>-0.78823153259617651</v>
      </c>
      <c r="AC75" s="13">
        <f t="shared" si="7"/>
        <v>-0.3220849823653536</v>
      </c>
      <c r="AD75" s="13"/>
      <c r="AE75" s="13"/>
      <c r="AF75" s="13"/>
    </row>
    <row r="76" spans="1:32">
      <c r="A76" s="1" t="s">
        <v>183</v>
      </c>
      <c r="B76">
        <v>6182.4566283744462</v>
      </c>
      <c r="C76">
        <v>132.81069570578669</v>
      </c>
      <c r="D76">
        <v>29221.403666666665</v>
      </c>
      <c r="E76">
        <v>32756.704666666661</v>
      </c>
      <c r="F76">
        <v>3535.3009999999995</v>
      </c>
      <c r="G76">
        <v>0.63748894783377541</v>
      </c>
      <c r="H76">
        <v>7.6943149430543617E-2</v>
      </c>
      <c r="I76">
        <v>12.29786746927622</v>
      </c>
      <c r="J76">
        <v>2.7683040153293246</v>
      </c>
      <c r="K76">
        <v>1</v>
      </c>
      <c r="L76">
        <f t="shared" si="4"/>
        <v>3.5484263960887739</v>
      </c>
      <c r="M76" t="s">
        <v>31</v>
      </c>
      <c r="N76">
        <v>387</v>
      </c>
      <c r="O76">
        <v>9</v>
      </c>
      <c r="P76">
        <v>1164</v>
      </c>
      <c r="Q76">
        <v>194.14836818296499</v>
      </c>
      <c r="R76">
        <v>245.042121281416</v>
      </c>
      <c r="S76" t="s">
        <v>184</v>
      </c>
      <c r="T76">
        <v>3</v>
      </c>
      <c r="U76">
        <v>367.331945634872</v>
      </c>
      <c r="V76">
        <v>1.6254438594342999</v>
      </c>
      <c r="W76">
        <v>35917.35</v>
      </c>
      <c r="X76">
        <v>6.82238865844546E-3</v>
      </c>
      <c r="Y76">
        <v>11.51313495635986</v>
      </c>
      <c r="Z76">
        <v>7.2694954872131348</v>
      </c>
      <c r="AA76">
        <f t="shared" si="5"/>
        <v>-0.12197920963420301</v>
      </c>
      <c r="AB76">
        <f t="shared" si="6"/>
        <v>-0.78586713516610185</v>
      </c>
      <c r="AC76" s="13">
        <f t="shared" si="7"/>
        <v>-0.26554691121041263</v>
      </c>
      <c r="AD76" s="13"/>
      <c r="AE76" s="13"/>
      <c r="AF76" s="13"/>
    </row>
    <row r="77" spans="1:32">
      <c r="A77" s="1" t="s">
        <v>185</v>
      </c>
      <c r="B77">
        <v>978.70812350003507</v>
      </c>
      <c r="C77">
        <v>293.26010364047494</v>
      </c>
      <c r="D77">
        <v>34.329794333333332</v>
      </c>
      <c r="E77">
        <v>3573.6986999999995</v>
      </c>
      <c r="F77">
        <v>3539.3689056666663</v>
      </c>
      <c r="G77">
        <v>0.6467661691542288</v>
      </c>
      <c r="H77">
        <v>8.3754150792478166E-2</v>
      </c>
      <c r="I77">
        <v>23.872575168664607</v>
      </c>
      <c r="J77">
        <v>9.3051642022273278</v>
      </c>
      <c r="K77">
        <v>1</v>
      </c>
      <c r="L77">
        <f t="shared" si="4"/>
        <v>3.5489258311725846</v>
      </c>
      <c r="M77" t="s">
        <v>31</v>
      </c>
      <c r="N77">
        <v>479</v>
      </c>
      <c r="O77">
        <v>15</v>
      </c>
      <c r="P77">
        <v>1440</v>
      </c>
      <c r="Q77">
        <v>261.56099602427201</v>
      </c>
      <c r="R77">
        <v>330.12619117079601</v>
      </c>
      <c r="S77" t="s">
        <v>186</v>
      </c>
      <c r="T77">
        <v>0</v>
      </c>
      <c r="U77">
        <v>0</v>
      </c>
      <c r="V77">
        <v>0</v>
      </c>
      <c r="W77">
        <v>2786.6655000000001</v>
      </c>
      <c r="X77">
        <v>0.11846638614171499</v>
      </c>
      <c r="Y77">
        <v>10.244706153869631</v>
      </c>
      <c r="Z77">
        <v>6.802304744720459</v>
      </c>
      <c r="AA77">
        <f t="shared" si="5"/>
        <v>-0.12171080283547556</v>
      </c>
      <c r="AB77">
        <f t="shared" si="6"/>
        <v>-0.78516584432306935</v>
      </c>
      <c r="AC77" s="13">
        <f t="shared" si="7"/>
        <v>-0.20014078923128956</v>
      </c>
      <c r="AD77" s="13"/>
      <c r="AE77" s="13"/>
      <c r="AF77" s="13"/>
    </row>
    <row r="78" spans="1:32">
      <c r="A78" s="1" t="s">
        <v>187</v>
      </c>
      <c r="B78">
        <v>164.55760870095648</v>
      </c>
      <c r="C78">
        <v>58.00975661671081</v>
      </c>
      <c r="D78">
        <v>130.02526499999999</v>
      </c>
      <c r="E78">
        <v>3835.7128666666667</v>
      </c>
      <c r="F78">
        <v>3705.6876016666665</v>
      </c>
      <c r="G78">
        <v>0.6176046176046176</v>
      </c>
      <c r="H78">
        <v>0.5131004350311974</v>
      </c>
      <c r="I78">
        <v>8.9812627652930015</v>
      </c>
      <c r="J78">
        <v>0.6713743351198781</v>
      </c>
      <c r="K78">
        <v>1</v>
      </c>
      <c r="L78">
        <f t="shared" si="4"/>
        <v>3.5688688044618493</v>
      </c>
      <c r="M78" t="s">
        <v>31</v>
      </c>
      <c r="N78">
        <v>472</v>
      </c>
      <c r="O78">
        <v>3</v>
      </c>
      <c r="P78">
        <v>1419</v>
      </c>
      <c r="Q78">
        <v>53.0863755144401</v>
      </c>
      <c r="R78">
        <v>67.002355924728306</v>
      </c>
      <c r="S78" t="s">
        <v>188</v>
      </c>
      <c r="T78">
        <v>0</v>
      </c>
      <c r="U78">
        <v>0</v>
      </c>
      <c r="V78">
        <v>0</v>
      </c>
      <c r="W78">
        <v>3645.4067</v>
      </c>
      <c r="X78">
        <v>1.83799398636997E-2</v>
      </c>
      <c r="Y78">
        <v>9.8428821563720703</v>
      </c>
      <c r="Z78">
        <v>6.6564202308654794</v>
      </c>
      <c r="AA78">
        <f t="shared" si="5"/>
        <v>-0.11073683430722722</v>
      </c>
      <c r="AB78">
        <f t="shared" si="6"/>
        <v>-0.74095845078040534</v>
      </c>
      <c r="AC78" s="13">
        <f t="shared" si="7"/>
        <v>-0.40241025854668561</v>
      </c>
      <c r="AD78" s="13"/>
      <c r="AE78" s="13"/>
      <c r="AF78" s="13"/>
    </row>
    <row r="79" spans="1:32">
      <c r="A79" s="1" t="s">
        <v>189</v>
      </c>
      <c r="B79">
        <v>690.34045928077376</v>
      </c>
      <c r="C79">
        <v>80.350953305329355</v>
      </c>
      <c r="D79">
        <v>16.265298133333335</v>
      </c>
      <c r="E79">
        <v>3780.8236000000002</v>
      </c>
      <c r="F79">
        <v>3764.5583018666671</v>
      </c>
      <c r="G79">
        <v>0.54037267080745344</v>
      </c>
      <c r="H79">
        <v>6.1024561571010216E-2</v>
      </c>
      <c r="I79">
        <v>7.9123541390833593E-2</v>
      </c>
      <c r="J79">
        <v>4.6469288142295492E-2</v>
      </c>
      <c r="K79">
        <v>1</v>
      </c>
      <c r="L79">
        <f t="shared" si="4"/>
        <v>3.5757140274649712</v>
      </c>
      <c r="M79" t="s">
        <v>31</v>
      </c>
      <c r="N79">
        <v>332</v>
      </c>
      <c r="O79">
        <v>19</v>
      </c>
      <c r="P79">
        <v>999</v>
      </c>
      <c r="Q79">
        <v>477.56482156984299</v>
      </c>
      <c r="R79">
        <v>602.75292562115396</v>
      </c>
      <c r="S79" t="s">
        <v>190</v>
      </c>
      <c r="T79">
        <v>1</v>
      </c>
      <c r="U79">
        <v>122.44398187829</v>
      </c>
      <c r="V79">
        <v>0.256649030436996</v>
      </c>
      <c r="W79">
        <v>4646.3687</v>
      </c>
      <c r="X79">
        <v>0.12972559100209899</v>
      </c>
      <c r="Y79">
        <v>11.71243858337402</v>
      </c>
      <c r="Z79">
        <v>7.5810747146606454</v>
      </c>
      <c r="AA79">
        <f t="shared" si="5"/>
        <v>-0.10685245313560748</v>
      </c>
      <c r="AB79">
        <f t="shared" si="6"/>
        <v>-0.78750618342151568</v>
      </c>
      <c r="AC79" s="13">
        <f t="shared" si="7"/>
        <v>9.4337817949112206E-3</v>
      </c>
      <c r="AD79" s="13"/>
      <c r="AE79" s="13"/>
      <c r="AF79" s="13"/>
    </row>
    <row r="80" spans="1:32">
      <c r="A80" s="1" t="s">
        <v>191</v>
      </c>
      <c r="B80">
        <v>512.49313472063955</v>
      </c>
      <c r="C80">
        <v>62.195099965073233</v>
      </c>
      <c r="D80">
        <v>71.921796666666665</v>
      </c>
      <c r="E80">
        <v>3873.3427666666666</v>
      </c>
      <c r="F80">
        <v>3801.4209700000006</v>
      </c>
      <c r="G80">
        <v>0.73037857802400741</v>
      </c>
      <c r="H80">
        <v>0.10967019027976233</v>
      </c>
      <c r="I80">
        <v>0.22586729915081161</v>
      </c>
      <c r="J80">
        <v>5.5823278965351948E-2</v>
      </c>
      <c r="K80">
        <v>1</v>
      </c>
      <c r="L80">
        <f t="shared" si="4"/>
        <v>3.5799459661105071</v>
      </c>
      <c r="M80" t="s">
        <v>31</v>
      </c>
      <c r="N80">
        <v>371</v>
      </c>
      <c r="O80">
        <v>2</v>
      </c>
      <c r="P80">
        <v>1116</v>
      </c>
      <c r="Q80">
        <v>44.999741251487798</v>
      </c>
      <c r="R80">
        <v>56.795903857341301</v>
      </c>
      <c r="S80" t="s">
        <v>192</v>
      </c>
      <c r="T80">
        <v>0</v>
      </c>
      <c r="U80">
        <v>0</v>
      </c>
      <c r="V80">
        <v>0</v>
      </c>
      <c r="W80">
        <v>3804.0889999999999</v>
      </c>
      <c r="X80">
        <v>1.49302247811082E-2</v>
      </c>
      <c r="Y80">
        <v>10.74010753631592</v>
      </c>
      <c r="Z80">
        <v>9.4961423873901367</v>
      </c>
      <c r="AA80">
        <f t="shared" si="5"/>
        <v>-0.10442019645195441</v>
      </c>
      <c r="AB80">
        <f t="shared" si="6"/>
        <v>-0.78249741420328156</v>
      </c>
      <c r="AC80" s="13">
        <f t="shared" si="7"/>
        <v>-0.41025619786013745</v>
      </c>
      <c r="AD80" s="13"/>
      <c r="AE80" s="13"/>
      <c r="AF80" s="13"/>
    </row>
    <row r="81" spans="1:32">
      <c r="A81" s="1" t="s">
        <v>193</v>
      </c>
      <c r="B81">
        <v>4416.8746027243533</v>
      </c>
      <c r="C81">
        <v>158.72284091105448</v>
      </c>
      <c r="D81">
        <v>6946.6739999999991</v>
      </c>
      <c r="E81">
        <v>10800.278333333334</v>
      </c>
      <c r="F81">
        <v>3853.6043333333332</v>
      </c>
      <c r="G81">
        <v>0.55333333333333334</v>
      </c>
      <c r="H81">
        <v>0.13675622497499504</v>
      </c>
      <c r="I81">
        <v>6.6393964026259304</v>
      </c>
      <c r="J81">
        <v>4.3132866914398074</v>
      </c>
      <c r="K81">
        <v>1</v>
      </c>
      <c r="L81">
        <f t="shared" si="4"/>
        <v>3.5858671216657552</v>
      </c>
      <c r="M81" t="s">
        <v>31</v>
      </c>
      <c r="N81">
        <v>360</v>
      </c>
      <c r="O81">
        <v>3</v>
      </c>
      <c r="P81">
        <v>1083</v>
      </c>
      <c r="Q81">
        <v>69.556386754377201</v>
      </c>
      <c r="R81">
        <v>87.789790449851793</v>
      </c>
      <c r="S81" t="s">
        <v>194</v>
      </c>
      <c r="T81">
        <v>0</v>
      </c>
      <c r="U81">
        <v>0</v>
      </c>
      <c r="V81">
        <v>0</v>
      </c>
      <c r="W81">
        <v>11453.062</v>
      </c>
      <c r="X81">
        <v>7.6651807568885698E-3</v>
      </c>
      <c r="Y81">
        <v>10.6194314956665</v>
      </c>
      <c r="Z81">
        <v>9.9466762542724609</v>
      </c>
      <c r="AA81">
        <f t="shared" si="5"/>
        <v>-0.10097705625971685</v>
      </c>
      <c r="AB81">
        <f t="shared" si="6"/>
        <v>-0.77970851619894554</v>
      </c>
      <c r="AC81" s="13">
        <f t="shared" si="7"/>
        <v>-0.38643046961614969</v>
      </c>
      <c r="AD81" s="13"/>
      <c r="AE81" s="13"/>
      <c r="AF81" s="13"/>
    </row>
    <row r="82" spans="1:32">
      <c r="A82" s="1" t="s">
        <v>195</v>
      </c>
      <c r="B82">
        <v>6451.8251154361269</v>
      </c>
      <c r="C82">
        <v>34.96921480435995</v>
      </c>
      <c r="D82">
        <v>4028.5459966666672</v>
      </c>
      <c r="E82">
        <v>7939.0044666666681</v>
      </c>
      <c r="F82">
        <v>3910.45847</v>
      </c>
      <c r="G82">
        <v>0.44699453551912571</v>
      </c>
      <c r="H82">
        <v>0.10429333821650429</v>
      </c>
      <c r="I82">
        <v>8.8009307329281103</v>
      </c>
      <c r="J82">
        <v>1.5708582623119496</v>
      </c>
      <c r="K82">
        <v>1</v>
      </c>
      <c r="L82">
        <f t="shared" si="4"/>
        <v>3.5922276779377023</v>
      </c>
      <c r="M82" t="s">
        <v>31</v>
      </c>
      <c r="N82">
        <v>315</v>
      </c>
      <c r="O82">
        <v>0</v>
      </c>
      <c r="P82">
        <v>948</v>
      </c>
      <c r="Q82">
        <v>0</v>
      </c>
      <c r="R82">
        <v>0</v>
      </c>
      <c r="S82" t="s">
        <v>196</v>
      </c>
      <c r="T82">
        <v>1</v>
      </c>
      <c r="U82">
        <v>122.44398187829</v>
      </c>
      <c r="W82">
        <v>11115.03</v>
      </c>
      <c r="X82">
        <v>0</v>
      </c>
      <c r="Y82">
        <v>12.196855545043951</v>
      </c>
      <c r="Z82">
        <v>9.9759759902954102</v>
      </c>
      <c r="AA82">
        <f t="shared" si="5"/>
        <v>-9.7225731114161787E-2</v>
      </c>
      <c r="AB82">
        <f t="shared" si="6"/>
        <v>-0.78305103868754278</v>
      </c>
      <c r="AC82" s="13">
        <f t="shared" si="7"/>
        <v>-0.45391654251028785</v>
      </c>
      <c r="AD82" s="13"/>
      <c r="AE82" s="13"/>
      <c r="AF82" s="13"/>
    </row>
    <row r="83" spans="1:32">
      <c r="A83" s="1" t="s">
        <v>197</v>
      </c>
      <c r="B83">
        <v>6430.5225712629835</v>
      </c>
      <c r="C83">
        <v>58.468659764668558</v>
      </c>
      <c r="D83">
        <v>7931.6496666666671</v>
      </c>
      <c r="E83">
        <v>11848.135333333334</v>
      </c>
      <c r="F83">
        <v>3916.485666666666</v>
      </c>
      <c r="G83">
        <v>0.47969782813975448</v>
      </c>
      <c r="H83">
        <v>5.8189105015292363E-2</v>
      </c>
      <c r="I83">
        <v>3.7253852141954837</v>
      </c>
      <c r="J83">
        <v>0.23903611875623954</v>
      </c>
      <c r="K83">
        <v>1</v>
      </c>
      <c r="L83">
        <f t="shared" si="4"/>
        <v>3.5928965414750857</v>
      </c>
      <c r="M83" t="s">
        <v>31</v>
      </c>
      <c r="N83">
        <v>363</v>
      </c>
      <c r="O83">
        <v>1</v>
      </c>
      <c r="P83">
        <v>1092</v>
      </c>
      <c r="Q83">
        <v>22.9943732768591</v>
      </c>
      <c r="R83">
        <v>29.0220827402898</v>
      </c>
      <c r="S83" t="s">
        <v>198</v>
      </c>
      <c r="T83">
        <v>0</v>
      </c>
      <c r="U83">
        <v>0</v>
      </c>
      <c r="V83">
        <v>0</v>
      </c>
      <c r="W83">
        <v>13335.731</v>
      </c>
      <c r="X83">
        <v>2.1762648586935202E-3</v>
      </c>
      <c r="Y83">
        <v>11.371829032897949</v>
      </c>
      <c r="Z83">
        <v>10.867520332336429</v>
      </c>
      <c r="AA83">
        <f t="shared" si="5"/>
        <v>-9.6828047220983857E-2</v>
      </c>
      <c r="AB83">
        <f t="shared" si="6"/>
        <v>-0.78779813457710568</v>
      </c>
      <c r="AC83" s="13">
        <f t="shared" si="7"/>
        <v>-0.43160658617806819</v>
      </c>
      <c r="AD83" s="13"/>
      <c r="AE83" s="13"/>
      <c r="AF83" s="13"/>
    </row>
    <row r="84" spans="1:32">
      <c r="A84" s="1" t="s">
        <v>199</v>
      </c>
      <c r="B84">
        <v>5940.1035256847535</v>
      </c>
      <c r="C84">
        <v>144.15571600892414</v>
      </c>
      <c r="D84">
        <v>11.743848</v>
      </c>
      <c r="E84">
        <v>3997.786066666667</v>
      </c>
      <c r="F84">
        <v>3986.0422186666669</v>
      </c>
      <c r="G84">
        <v>0.5675213675213675</v>
      </c>
      <c r="H84">
        <v>7.2604347545753303E-2</v>
      </c>
      <c r="I84">
        <v>37.440214560171761</v>
      </c>
      <c r="J84">
        <v>26.210591972121577</v>
      </c>
      <c r="K84">
        <v>1</v>
      </c>
      <c r="L84">
        <f t="shared" si="4"/>
        <v>3.6005418942733662</v>
      </c>
      <c r="M84" t="s">
        <v>31</v>
      </c>
      <c r="N84">
        <v>400</v>
      </c>
      <c r="O84">
        <v>12</v>
      </c>
      <c r="P84">
        <v>1203</v>
      </c>
      <c r="Q84">
        <v>250.472375245188</v>
      </c>
      <c r="R84">
        <v>316.13081648275801</v>
      </c>
      <c r="S84" t="s">
        <v>200</v>
      </c>
      <c r="T84">
        <v>0</v>
      </c>
      <c r="U84">
        <v>0</v>
      </c>
      <c r="V84">
        <v>0</v>
      </c>
      <c r="W84">
        <v>4936.3850000000002</v>
      </c>
      <c r="X84">
        <v>6.4040956384633294E-2</v>
      </c>
      <c r="Y84">
        <v>10.39661312103271</v>
      </c>
      <c r="Z84">
        <v>7.2334036827087402</v>
      </c>
      <c r="AA84">
        <f t="shared" si="5"/>
        <v>-9.2238596780718995E-2</v>
      </c>
      <c r="AB84">
        <f t="shared" si="6"/>
        <v>-0.78631387740998704</v>
      </c>
      <c r="AC84" s="13">
        <f t="shared" si="7"/>
        <v>-0.21089936231294301</v>
      </c>
      <c r="AD84" s="13"/>
      <c r="AE84" s="13"/>
      <c r="AF84" s="13"/>
    </row>
    <row r="85" spans="1:32">
      <c r="A85" s="1" t="s">
        <v>201</v>
      </c>
      <c r="B85">
        <v>802.53755683073223</v>
      </c>
      <c r="C85">
        <v>25.287710082288736</v>
      </c>
      <c r="D85">
        <v>112.59753066666667</v>
      </c>
      <c r="E85">
        <v>4137.8717333333334</v>
      </c>
      <c r="F85">
        <v>4025.274202666666</v>
      </c>
      <c r="G85">
        <v>0.61551577152600179</v>
      </c>
      <c r="H85">
        <v>7.4006440441463373E-2</v>
      </c>
      <c r="I85">
        <v>2.0881031591310717</v>
      </c>
      <c r="J85">
        <v>1.2474534603491385</v>
      </c>
      <c r="K85">
        <v>1</v>
      </c>
      <c r="L85">
        <f t="shared" si="4"/>
        <v>3.6047954699582783</v>
      </c>
      <c r="M85" t="s">
        <v>31</v>
      </c>
      <c r="N85">
        <v>401</v>
      </c>
      <c r="O85">
        <v>6</v>
      </c>
      <c r="P85">
        <v>1206</v>
      </c>
      <c r="Q85">
        <v>124.924654817563</v>
      </c>
      <c r="R85">
        <v>157.67221070843999</v>
      </c>
      <c r="S85" t="s">
        <v>202</v>
      </c>
      <c r="T85">
        <v>0</v>
      </c>
      <c r="U85">
        <v>0</v>
      </c>
      <c r="V85">
        <v>0</v>
      </c>
      <c r="W85">
        <v>4336.3525</v>
      </c>
      <c r="X85">
        <v>3.6360561257056501E-2</v>
      </c>
      <c r="Y85">
        <v>10.969069480896</v>
      </c>
      <c r="Z85">
        <v>6.830812931060791</v>
      </c>
      <c r="AA85">
        <f t="shared" si="5"/>
        <v>-8.9650008918553875E-2</v>
      </c>
      <c r="AB85">
        <f t="shared" si="6"/>
        <v>-0.78616951172033411</v>
      </c>
      <c r="AC85" s="13">
        <f t="shared" si="7"/>
        <v>-0.33271021258598993</v>
      </c>
      <c r="AD85" s="13"/>
      <c r="AE85" s="13"/>
      <c r="AF85" s="13"/>
    </row>
    <row r="86" spans="1:32">
      <c r="A86" s="1" t="s">
        <v>203</v>
      </c>
      <c r="B86">
        <v>210.24527044095544</v>
      </c>
      <c r="C86">
        <v>15.846158462947946</v>
      </c>
      <c r="D86">
        <v>28133.877666666667</v>
      </c>
      <c r="E86">
        <v>32213.506000000005</v>
      </c>
      <c r="F86">
        <v>4079.6283333333354</v>
      </c>
      <c r="G86">
        <v>0.6476476476476476</v>
      </c>
      <c r="H86">
        <v>9.0915347887470396E-2</v>
      </c>
      <c r="I86">
        <v>0.23808488856967761</v>
      </c>
      <c r="J86">
        <v>6.6757836779725382E-2</v>
      </c>
      <c r="K86">
        <v>1</v>
      </c>
      <c r="L86">
        <f t="shared" si="4"/>
        <v>3.6106205993313463</v>
      </c>
      <c r="M86" t="s">
        <v>31</v>
      </c>
      <c r="N86">
        <v>343</v>
      </c>
      <c r="O86">
        <v>79</v>
      </c>
      <c r="P86">
        <v>1032</v>
      </c>
      <c r="Q86">
        <v>1922.16918008535</v>
      </c>
      <c r="R86">
        <v>2426.0436374412002</v>
      </c>
      <c r="S86" t="s">
        <v>204</v>
      </c>
      <c r="T86">
        <v>0</v>
      </c>
      <c r="U86">
        <v>0</v>
      </c>
      <c r="V86">
        <v>0</v>
      </c>
      <c r="W86">
        <v>38005.957000000002</v>
      </c>
      <c r="X86">
        <v>6.3833246915508596E-2</v>
      </c>
      <c r="Y86">
        <v>10.95183181762695</v>
      </c>
      <c r="Z86">
        <v>7.3226876258850098</v>
      </c>
      <c r="AA86">
        <f t="shared" si="5"/>
        <v>-8.6063638091570444E-2</v>
      </c>
      <c r="AB86">
        <f t="shared" si="6"/>
        <v>-0.78442849577753282</v>
      </c>
      <c r="AC86" s="13">
        <f t="shared" si="7"/>
        <v>1.4110401560051438</v>
      </c>
      <c r="AD86" s="13"/>
      <c r="AE86" s="13"/>
      <c r="AF86" s="13"/>
    </row>
    <row r="87" spans="1:32">
      <c r="A87" s="1" t="s">
        <v>205</v>
      </c>
      <c r="B87">
        <v>880.0768685910424</v>
      </c>
      <c r="C87">
        <v>72.426190551370553</v>
      </c>
      <c r="D87">
        <v>150570.70000000001</v>
      </c>
      <c r="E87">
        <v>154673.625</v>
      </c>
      <c r="F87">
        <v>4102.9249999999884</v>
      </c>
      <c r="G87">
        <v>0.4582338902147971</v>
      </c>
      <c r="H87">
        <v>17.910986647725927</v>
      </c>
      <c r="I87">
        <v>25.566972465758308</v>
      </c>
      <c r="J87">
        <v>9.9774446646847803</v>
      </c>
      <c r="K87">
        <v>0</v>
      </c>
      <c r="L87">
        <f t="shared" si="4"/>
        <v>3.6130935782918336</v>
      </c>
      <c r="M87" t="s">
        <v>31</v>
      </c>
      <c r="N87">
        <v>429</v>
      </c>
      <c r="O87">
        <v>20</v>
      </c>
      <c r="P87">
        <v>1290</v>
      </c>
      <c r="Q87">
        <v>389.30008710589402</v>
      </c>
      <c r="R87">
        <v>491.350610114674</v>
      </c>
      <c r="S87" t="s">
        <v>206</v>
      </c>
      <c r="T87">
        <v>0</v>
      </c>
      <c r="U87">
        <v>0</v>
      </c>
      <c r="V87">
        <v>0</v>
      </c>
      <c r="W87">
        <v>164689.17000000001</v>
      </c>
      <c r="X87">
        <v>2.9835028624813202E-3</v>
      </c>
      <c r="Y87">
        <v>10.51260471343994</v>
      </c>
      <c r="Z87">
        <v>7.3278350830078116</v>
      </c>
      <c r="AA87">
        <f t="shared" si="5"/>
        <v>-8.452648747073499E-2</v>
      </c>
      <c r="AB87">
        <f t="shared" si="6"/>
        <v>1.0504049098663826</v>
      </c>
      <c r="AC87" s="13">
        <f t="shared" si="7"/>
        <v>-7.6203793443871001E-2</v>
      </c>
      <c r="AD87" s="13"/>
      <c r="AE87" s="13"/>
      <c r="AF87" s="13"/>
    </row>
    <row r="88" spans="1:32">
      <c r="A88" s="1" t="s">
        <v>207</v>
      </c>
      <c r="B88">
        <v>266.00560710113172</v>
      </c>
      <c r="C88">
        <v>3.4431379641907753</v>
      </c>
      <c r="D88">
        <v>626.24514999999997</v>
      </c>
      <c r="E88">
        <v>4749.9960333333329</v>
      </c>
      <c r="F88">
        <v>4123.7508833333331</v>
      </c>
      <c r="G88">
        <v>0.53611111111111109</v>
      </c>
      <c r="H88">
        <v>5.3080120807593834E-2</v>
      </c>
      <c r="I88">
        <v>8.2148930013944826E-2</v>
      </c>
      <c r="J88">
        <v>3.7552663433417448E-2</v>
      </c>
      <c r="K88">
        <v>1</v>
      </c>
      <c r="L88">
        <f t="shared" si="4"/>
        <v>3.6152924215820152</v>
      </c>
      <c r="M88" t="s">
        <v>31</v>
      </c>
      <c r="N88">
        <v>370</v>
      </c>
      <c r="O88">
        <v>40</v>
      </c>
      <c r="P88">
        <v>1113</v>
      </c>
      <c r="Q88">
        <v>902.42068709183002</v>
      </c>
      <c r="R88">
        <v>1138.9798509396701</v>
      </c>
      <c r="S88" t="s">
        <v>208</v>
      </c>
      <c r="T88">
        <v>2</v>
      </c>
      <c r="U88">
        <v>244.887963756581</v>
      </c>
      <c r="V88">
        <v>0.24381657891514599</v>
      </c>
      <c r="W88">
        <v>4865.3046999999997</v>
      </c>
      <c r="X88">
        <v>0.234102470692056</v>
      </c>
      <c r="Y88">
        <v>11.230661392211911</v>
      </c>
      <c r="Z88">
        <v>7.4783525466918954</v>
      </c>
      <c r="AA88">
        <f t="shared" si="5"/>
        <v>-8.315236301107054E-2</v>
      </c>
      <c r="AB88">
        <f t="shared" si="6"/>
        <v>-0.78832417820148082</v>
      </c>
      <c r="AC88" s="13">
        <f t="shared" si="7"/>
        <v>0.42164400788625817</v>
      </c>
      <c r="AD88" s="13"/>
      <c r="AE88" s="13"/>
      <c r="AF88" s="13"/>
    </row>
    <row r="89" spans="1:32">
      <c r="A89" s="1" t="s">
        <v>209</v>
      </c>
      <c r="B89">
        <v>5026.9686226390577</v>
      </c>
      <c r="C89">
        <v>342.05377711496277</v>
      </c>
      <c r="D89">
        <v>0</v>
      </c>
      <c r="E89">
        <v>4234.6170000000002</v>
      </c>
      <c r="F89">
        <v>4234.6170000000002</v>
      </c>
      <c r="G89">
        <v>0.58432539682539675</v>
      </c>
      <c r="H89">
        <v>5.7003962157717913E-2</v>
      </c>
      <c r="I89">
        <v>12.68037912367762</v>
      </c>
      <c r="J89">
        <v>6.0752016399750506</v>
      </c>
      <c r="K89">
        <v>1</v>
      </c>
      <c r="L89">
        <f t="shared" si="4"/>
        <v>3.6268141366718218</v>
      </c>
      <c r="M89" t="s">
        <v>31</v>
      </c>
      <c r="N89">
        <v>346</v>
      </c>
      <c r="O89">
        <v>14</v>
      </c>
      <c r="P89">
        <v>1041</v>
      </c>
      <c r="Q89">
        <v>337.69258276332602</v>
      </c>
      <c r="R89">
        <v>426.21479436460203</v>
      </c>
      <c r="S89" t="s">
        <v>210</v>
      </c>
      <c r="T89">
        <v>0</v>
      </c>
      <c r="U89">
        <v>0</v>
      </c>
      <c r="V89">
        <v>0</v>
      </c>
      <c r="W89">
        <v>3852.9836</v>
      </c>
      <c r="X89">
        <v>0.11061941565611701</v>
      </c>
      <c r="Y89">
        <v>10.732015609741209</v>
      </c>
      <c r="Z89">
        <v>10.96524143218994</v>
      </c>
      <c r="AA89">
        <f t="shared" si="5"/>
        <v>-7.5837242676378216E-2</v>
      </c>
      <c r="AB89">
        <f t="shared" si="6"/>
        <v>-0.78792016213069671</v>
      </c>
      <c r="AC89" s="13">
        <f t="shared" si="7"/>
        <v>-0.12627522415584549</v>
      </c>
      <c r="AD89" s="13"/>
      <c r="AE89" s="13"/>
      <c r="AF89" s="13"/>
    </row>
    <row r="90" spans="1:32">
      <c r="A90" s="1" t="s">
        <v>211</v>
      </c>
      <c r="B90">
        <v>360.14035292612516</v>
      </c>
      <c r="C90">
        <v>114.70000467629768</v>
      </c>
      <c r="D90">
        <v>738.36577999999997</v>
      </c>
      <c r="E90">
        <v>4989.7644333333328</v>
      </c>
      <c r="F90">
        <v>4251.3986533333336</v>
      </c>
      <c r="G90">
        <v>0.43605236656596175</v>
      </c>
      <c r="H90">
        <v>3.1449457196759738</v>
      </c>
      <c r="I90">
        <v>7.0487867294698958</v>
      </c>
      <c r="J90">
        <v>1.9857169470617992</v>
      </c>
      <c r="K90">
        <v>0</v>
      </c>
      <c r="L90">
        <f t="shared" si="4"/>
        <v>3.628531830637618</v>
      </c>
      <c r="M90" t="s">
        <v>31</v>
      </c>
      <c r="N90">
        <v>341</v>
      </c>
      <c r="O90"/>
      <c r="Y90">
        <v>11.95199680328369</v>
      </c>
      <c r="Z90">
        <v>9.8309030532836914</v>
      </c>
      <c r="AA90">
        <f t="shared" si="5"/>
        <v>-7.4729962857806448E-2</v>
      </c>
      <c r="AB90">
        <f t="shared" si="6"/>
        <v>-0.46997201276337958</v>
      </c>
      <c r="AC90" s="13">
        <f t="shared" si="7"/>
        <v>-0.45391654251028785</v>
      </c>
      <c r="AD90" s="13"/>
      <c r="AE90" s="13"/>
      <c r="AF90" s="13"/>
    </row>
    <row r="91" spans="1:32">
      <c r="A91" s="1" t="s">
        <v>212</v>
      </c>
      <c r="B91">
        <v>6315.3272464778684</v>
      </c>
      <c r="C91">
        <v>36.285988824450037</v>
      </c>
      <c r="D91">
        <v>9959.4066666666677</v>
      </c>
      <c r="E91">
        <v>14395.804666666669</v>
      </c>
      <c r="F91">
        <v>4436.3979999999992</v>
      </c>
      <c r="G91">
        <v>0.6014897579143389</v>
      </c>
      <c r="H91">
        <v>0.17023294189049001</v>
      </c>
      <c r="I91">
        <v>1.7580451321763413</v>
      </c>
      <c r="J91">
        <v>0.31101807213581828</v>
      </c>
      <c r="K91">
        <v>1</v>
      </c>
      <c r="L91">
        <f t="shared" si="4"/>
        <v>3.6470305008337962</v>
      </c>
      <c r="M91" t="s">
        <v>31</v>
      </c>
      <c r="N91">
        <v>368</v>
      </c>
      <c r="O91">
        <v>11</v>
      </c>
      <c r="P91">
        <v>1107</v>
      </c>
      <c r="Q91">
        <v>249.510760435078</v>
      </c>
      <c r="R91">
        <v>314.91712545290102</v>
      </c>
      <c r="S91" t="s">
        <v>213</v>
      </c>
      <c r="T91">
        <v>0</v>
      </c>
      <c r="U91">
        <v>0</v>
      </c>
      <c r="V91">
        <v>0</v>
      </c>
      <c r="W91">
        <v>16053.38</v>
      </c>
      <c r="X91">
        <v>1.9616873546437E-2</v>
      </c>
      <c r="Y91">
        <v>11.31128597259521</v>
      </c>
      <c r="Z91">
        <v>8.8760318756103516</v>
      </c>
      <c r="AA91">
        <f t="shared" si="5"/>
        <v>-6.2523415687267728E-2</v>
      </c>
      <c r="AB91">
        <f t="shared" si="6"/>
        <v>-0.77626160527057053</v>
      </c>
      <c r="AC91" s="13">
        <f t="shared" si="7"/>
        <v>-0.21183235510051163</v>
      </c>
      <c r="AD91" s="13"/>
      <c r="AE91" s="13"/>
      <c r="AF91" s="13"/>
    </row>
    <row r="92" spans="1:32">
      <c r="A92" s="1" t="s">
        <v>214</v>
      </c>
      <c r="B92">
        <v>756.66025436256621</v>
      </c>
      <c r="C92">
        <v>57.89299830626603</v>
      </c>
      <c r="D92">
        <v>2588.7537666666667</v>
      </c>
      <c r="E92">
        <v>7207.940333333333</v>
      </c>
      <c r="F92">
        <v>4619.1865666666672</v>
      </c>
      <c r="G92">
        <v>0.41458910433979684</v>
      </c>
      <c r="H92">
        <v>5.621980622771753E-2</v>
      </c>
      <c r="I92">
        <v>5.9608096295325277</v>
      </c>
      <c r="J92">
        <v>1.8016634938982894</v>
      </c>
      <c r="K92">
        <v>1</v>
      </c>
      <c r="L92">
        <f t="shared" si="4"/>
        <v>3.664565503540667</v>
      </c>
      <c r="M92" t="s">
        <v>31</v>
      </c>
      <c r="N92">
        <v>371</v>
      </c>
      <c r="O92">
        <v>9</v>
      </c>
      <c r="P92">
        <v>1116</v>
      </c>
      <c r="Q92">
        <v>202.49883563169499</v>
      </c>
      <c r="R92">
        <v>255.58156735803601</v>
      </c>
      <c r="S92" t="s">
        <v>215</v>
      </c>
      <c r="T92">
        <v>1</v>
      </c>
      <c r="U92">
        <v>122.44398187829</v>
      </c>
      <c r="V92">
        <v>0.54181461981143597</v>
      </c>
      <c r="W92">
        <v>8291.2990000000009</v>
      </c>
      <c r="X92">
        <v>3.0825274466405799E-2</v>
      </c>
      <c r="Y92">
        <v>9.2505683898925781</v>
      </c>
      <c r="Z92">
        <v>10.837193489074711</v>
      </c>
      <c r="AA92">
        <f t="shared" si="5"/>
        <v>-5.0462739250003975E-2</v>
      </c>
      <c r="AB92">
        <f t="shared" si="6"/>
        <v>-0.78800090229561459</v>
      </c>
      <c r="AC92" s="13">
        <f t="shared" si="7"/>
        <v>-0.25744499158461126</v>
      </c>
      <c r="AD92" s="13"/>
      <c r="AE92" s="13"/>
      <c r="AF92" s="13"/>
    </row>
    <row r="93" spans="1:32">
      <c r="A93" s="1" t="s">
        <v>216</v>
      </c>
      <c r="B93">
        <v>400.38140239447353</v>
      </c>
      <c r="C93">
        <v>63.126492450937349</v>
      </c>
      <c r="D93">
        <v>12685.181999999999</v>
      </c>
      <c r="E93">
        <v>17347.652000000002</v>
      </c>
      <c r="F93">
        <v>4662.4700000000012</v>
      </c>
      <c r="G93">
        <v>0.608080808080808</v>
      </c>
      <c r="H93">
        <v>2.351390435004546</v>
      </c>
      <c r="I93">
        <v>3.5586257992614594</v>
      </c>
      <c r="J93">
        <v>0.55114568737782732</v>
      </c>
      <c r="K93">
        <v>0</v>
      </c>
      <c r="L93">
        <f t="shared" si="4"/>
        <v>3.6686160504196668</v>
      </c>
      <c r="M93" t="s">
        <v>31</v>
      </c>
      <c r="N93">
        <v>340</v>
      </c>
      <c r="O93">
        <v>11</v>
      </c>
      <c r="P93">
        <v>1023</v>
      </c>
      <c r="Q93">
        <v>269.99844750892601</v>
      </c>
      <c r="R93">
        <v>340.77542314404798</v>
      </c>
      <c r="S93" t="s">
        <v>217</v>
      </c>
      <c r="T93">
        <v>3</v>
      </c>
      <c r="U93">
        <v>367.331945634872</v>
      </c>
      <c r="V93">
        <v>1.3299086122644299</v>
      </c>
      <c r="W93">
        <v>17437.723000000002</v>
      </c>
      <c r="X93">
        <v>1.95424266771555E-2</v>
      </c>
      <c r="Y93">
        <v>11.46760368347168</v>
      </c>
      <c r="Z93">
        <v>11.99249935150146</v>
      </c>
      <c r="AA93">
        <f t="shared" si="5"/>
        <v>-4.7606830403805825E-2</v>
      </c>
      <c r="AB93">
        <f t="shared" si="6"/>
        <v>-0.55167997683609349</v>
      </c>
      <c r="AC93" s="13">
        <f t="shared" si="7"/>
        <v>-0.19195447460938633</v>
      </c>
      <c r="AD93" s="13"/>
      <c r="AE93" s="13"/>
      <c r="AF93" s="13"/>
    </row>
    <row r="94" spans="1:32">
      <c r="A94" s="1" t="s">
        <v>218</v>
      </c>
      <c r="B94">
        <v>730.52409724273957</v>
      </c>
      <c r="C94">
        <v>77.054374164970312</v>
      </c>
      <c r="D94">
        <v>54.411411333333341</v>
      </c>
      <c r="E94">
        <v>4741.3848666666672</v>
      </c>
      <c r="F94">
        <v>4686.9734553333328</v>
      </c>
      <c r="G94">
        <v>0.46084337349397592</v>
      </c>
      <c r="H94">
        <v>6.617484698550781E-2</v>
      </c>
      <c r="I94">
        <v>28.20201003465267</v>
      </c>
      <c r="J94">
        <v>7.5714812728787591</v>
      </c>
      <c r="K94">
        <v>1</v>
      </c>
      <c r="L94">
        <f t="shared" si="4"/>
        <v>3.6708924939010714</v>
      </c>
      <c r="M94" t="s">
        <v>31</v>
      </c>
      <c r="N94">
        <v>342</v>
      </c>
      <c r="O94">
        <v>37</v>
      </c>
      <c r="P94">
        <v>1029</v>
      </c>
      <c r="Q94">
        <v>902.881105809735</v>
      </c>
      <c r="R94">
        <v>1139.5609631085199</v>
      </c>
      <c r="S94" t="s">
        <v>219</v>
      </c>
      <c r="T94">
        <v>0</v>
      </c>
      <c r="U94">
        <v>0</v>
      </c>
      <c r="V94">
        <v>0</v>
      </c>
      <c r="W94">
        <v>4998.9862999999996</v>
      </c>
      <c r="X94">
        <v>0.22795840890952701</v>
      </c>
      <c r="Y94">
        <v>11.73531913757324</v>
      </c>
      <c r="Z94">
        <v>7.990849494934082</v>
      </c>
      <c r="AA94">
        <f t="shared" si="5"/>
        <v>-4.5990053973203458E-2</v>
      </c>
      <c r="AB94">
        <f t="shared" si="6"/>
        <v>-0.78697588724210554</v>
      </c>
      <c r="AC94" s="13">
        <f t="shared" si="7"/>
        <v>0.422090722452788</v>
      </c>
      <c r="AD94" s="13"/>
      <c r="AE94" s="13"/>
      <c r="AF94" s="13"/>
    </row>
    <row r="95" spans="1:32">
      <c r="A95" s="1" t="s">
        <v>220</v>
      </c>
      <c r="B95">
        <v>1043.1561567743518</v>
      </c>
      <c r="C95">
        <v>312.7206704311825</v>
      </c>
      <c r="D95">
        <v>12511.944000000001</v>
      </c>
      <c r="E95">
        <v>17297.198666666667</v>
      </c>
      <c r="F95">
        <v>4785.2546666666676</v>
      </c>
      <c r="G95">
        <v>0.72047519217330547</v>
      </c>
      <c r="H95">
        <v>0.20082045535852378</v>
      </c>
      <c r="I95">
        <v>24.019567506855992</v>
      </c>
      <c r="J95">
        <v>13.037736196699955</v>
      </c>
      <c r="K95">
        <v>1</v>
      </c>
      <c r="L95">
        <f t="shared" si="4"/>
        <v>3.6799050554639563</v>
      </c>
      <c r="M95" t="s">
        <v>31</v>
      </c>
      <c r="N95">
        <v>487</v>
      </c>
      <c r="O95">
        <v>7</v>
      </c>
      <c r="P95">
        <v>1464</v>
      </c>
      <c r="Q95">
        <v>120.060785060321</v>
      </c>
      <c r="R95">
        <v>151.53333365216901</v>
      </c>
      <c r="S95" t="s">
        <v>221</v>
      </c>
      <c r="T95">
        <v>0</v>
      </c>
      <c r="U95">
        <v>0</v>
      </c>
      <c r="V95">
        <v>0</v>
      </c>
      <c r="W95">
        <v>16725.738000000001</v>
      </c>
      <c r="X95">
        <v>9.0598892349126204E-3</v>
      </c>
      <c r="Y95">
        <v>9.8001508712768555</v>
      </c>
      <c r="Z95">
        <v>6.7109670639038086</v>
      </c>
      <c r="AA95">
        <f t="shared" si="5"/>
        <v>-3.9505305439039039E-2</v>
      </c>
      <c r="AB95">
        <f t="shared" si="6"/>
        <v>-0.77311217951562206</v>
      </c>
      <c r="AC95" s="13">
        <f t="shared" si="7"/>
        <v>-0.33742931149697775</v>
      </c>
      <c r="AD95" s="13"/>
      <c r="AE95" s="13"/>
      <c r="AF95" s="13"/>
    </row>
    <row r="96" spans="1:32">
      <c r="A96" s="1" t="s">
        <v>222</v>
      </c>
      <c r="B96">
        <v>532.92780923982161</v>
      </c>
      <c r="C96">
        <v>31.728897196836868</v>
      </c>
      <c r="D96">
        <v>574.12114666666662</v>
      </c>
      <c r="E96">
        <v>5443.1659666666674</v>
      </c>
      <c r="F96">
        <v>4869.0448200000001</v>
      </c>
      <c r="G96">
        <v>0.62377122430741738</v>
      </c>
      <c r="H96">
        <v>0.14976069173979054</v>
      </c>
      <c r="I96">
        <v>32.023028511638707</v>
      </c>
      <c r="J96">
        <v>18.092558986992547</v>
      </c>
      <c r="K96">
        <v>1</v>
      </c>
      <c r="L96">
        <f t="shared" si="4"/>
        <v>3.6874437722844626</v>
      </c>
      <c r="M96" t="s">
        <v>31</v>
      </c>
      <c r="N96">
        <v>383</v>
      </c>
      <c r="O96">
        <v>47</v>
      </c>
      <c r="P96">
        <v>1152</v>
      </c>
      <c r="Q96">
        <v>1024.4472344284</v>
      </c>
      <c r="R96">
        <v>1292.9942487522801</v>
      </c>
      <c r="S96" t="s">
        <v>223</v>
      </c>
      <c r="T96">
        <v>0</v>
      </c>
      <c r="U96">
        <v>0</v>
      </c>
      <c r="V96">
        <v>0</v>
      </c>
      <c r="W96">
        <v>5660.9336000000003</v>
      </c>
      <c r="X96">
        <v>0.22840653858796101</v>
      </c>
      <c r="Y96">
        <v>10.588841438293461</v>
      </c>
      <c r="Z96">
        <v>7.7557921409606934</v>
      </c>
      <c r="AA96">
        <f t="shared" si="5"/>
        <v>-3.397669964924202E-2</v>
      </c>
      <c r="AB96">
        <f t="shared" si="6"/>
        <v>-0.77836951874819749</v>
      </c>
      <c r="AC96" s="13">
        <f t="shared" si="7"/>
        <v>0.54003849116579006</v>
      </c>
      <c r="AD96" s="13"/>
      <c r="AE96" s="13"/>
      <c r="AF96" s="13"/>
    </row>
    <row r="97" spans="1:32">
      <c r="A97" s="1" t="s">
        <v>224</v>
      </c>
      <c r="B97">
        <v>192.17989560051899</v>
      </c>
      <c r="C97">
        <v>10.618162611488003</v>
      </c>
      <c r="D97">
        <v>624.21555666666666</v>
      </c>
      <c r="E97">
        <v>5651.4440666666669</v>
      </c>
      <c r="F97">
        <v>5027.2285099999999</v>
      </c>
      <c r="G97">
        <v>0.45821596244131457</v>
      </c>
      <c r="H97">
        <v>6.7349476435159802E-2</v>
      </c>
      <c r="I97">
        <v>33.502666820994044</v>
      </c>
      <c r="J97">
        <v>20.098015680145327</v>
      </c>
      <c r="K97">
        <v>1</v>
      </c>
      <c r="L97">
        <f t="shared" si="4"/>
        <v>3.7013286263015903</v>
      </c>
      <c r="M97" t="s">
        <v>31</v>
      </c>
      <c r="N97">
        <v>365</v>
      </c>
      <c r="O97">
        <v>3</v>
      </c>
      <c r="P97">
        <v>1098</v>
      </c>
      <c r="Q97">
        <v>68.606162891612499</v>
      </c>
      <c r="R97">
        <v>86.590476372667993</v>
      </c>
      <c r="S97" t="s">
        <v>225</v>
      </c>
      <c r="T97">
        <v>0</v>
      </c>
      <c r="U97">
        <v>0</v>
      </c>
      <c r="V97">
        <v>0</v>
      </c>
      <c r="W97">
        <v>6617.4565000000002</v>
      </c>
      <c r="X97">
        <v>1.3085159890762799E-2</v>
      </c>
      <c r="Y97">
        <v>8.4288997650146484</v>
      </c>
      <c r="Z97">
        <v>11.41102504730225</v>
      </c>
      <c r="AA97">
        <f t="shared" si="5"/>
        <v>-2.3539491581291642E-2</v>
      </c>
      <c r="AB97">
        <f t="shared" si="6"/>
        <v>-0.78685494219552232</v>
      </c>
      <c r="AC97" s="13">
        <f t="shared" si="7"/>
        <v>-0.3873524105026816</v>
      </c>
      <c r="AD97" s="13"/>
      <c r="AE97" s="13"/>
      <c r="AF97" s="13"/>
    </row>
    <row r="98" spans="1:32">
      <c r="A98" s="1" t="s">
        <v>226</v>
      </c>
      <c r="B98">
        <v>137.45096845824762</v>
      </c>
      <c r="C98">
        <v>19.785934517661083</v>
      </c>
      <c r="D98">
        <v>80.705795333333327</v>
      </c>
      <c r="E98">
        <v>5182.5367666666671</v>
      </c>
      <c r="F98">
        <v>5101.8309713333338</v>
      </c>
      <c r="G98">
        <v>0.47147950089126556</v>
      </c>
      <c r="H98">
        <v>0.36767748741974171</v>
      </c>
      <c r="I98">
        <v>24.104014534849323</v>
      </c>
      <c r="J98">
        <v>9.2751284437518464</v>
      </c>
      <c r="K98">
        <v>1</v>
      </c>
      <c r="L98">
        <f t="shared" si="4"/>
        <v>3.707726065909748</v>
      </c>
      <c r="M98" t="s">
        <v>31</v>
      </c>
      <c r="N98">
        <v>384</v>
      </c>
      <c r="O98">
        <v>18</v>
      </c>
      <c r="P98">
        <v>1155</v>
      </c>
      <c r="Q98">
        <v>391.32242522073</v>
      </c>
      <c r="R98">
        <v>493.90308081656798</v>
      </c>
      <c r="S98" t="s">
        <v>227</v>
      </c>
      <c r="T98">
        <v>2</v>
      </c>
      <c r="U98">
        <v>244.887963756581</v>
      </c>
      <c r="V98">
        <v>0.54181461981143597</v>
      </c>
      <c r="W98">
        <v>5405.5010000000002</v>
      </c>
      <c r="X98">
        <v>9.1370454064584994E-2</v>
      </c>
      <c r="Y98">
        <v>11.39478778839111</v>
      </c>
      <c r="Z98">
        <v>7.5116534233093262</v>
      </c>
      <c r="AA98">
        <f t="shared" si="5"/>
        <v>-1.8617104125813591E-2</v>
      </c>
      <c r="AB98">
        <f t="shared" si="6"/>
        <v>-0.75593184105113476</v>
      </c>
      <c r="AC98" s="13">
        <f t="shared" si="7"/>
        <v>-7.424164929287648E-2</v>
      </c>
      <c r="AD98" s="13"/>
      <c r="AE98" s="13"/>
      <c r="AF98" s="13"/>
    </row>
    <row r="99" spans="1:32">
      <c r="A99" s="1" t="s">
        <v>228</v>
      </c>
      <c r="B99">
        <v>129.59810888411025</v>
      </c>
      <c r="C99">
        <v>24.644476898802729</v>
      </c>
      <c r="D99">
        <v>8219.5124333333351</v>
      </c>
      <c r="E99">
        <v>13380.608</v>
      </c>
      <c r="F99">
        <v>5161.0955666666659</v>
      </c>
      <c r="G99">
        <v>0.5402542372881356</v>
      </c>
      <c r="H99">
        <v>0.13327237725939192</v>
      </c>
      <c r="I99">
        <v>0.40388978631849498</v>
      </c>
      <c r="J99">
        <v>9.6820974098730542E-2</v>
      </c>
      <c r="K99">
        <v>1</v>
      </c>
      <c r="L99">
        <f t="shared" si="4"/>
        <v>3.7127419008625742</v>
      </c>
      <c r="M99" t="s">
        <v>31</v>
      </c>
      <c r="N99">
        <v>482</v>
      </c>
      <c r="O99">
        <v>6</v>
      </c>
      <c r="P99">
        <v>1449</v>
      </c>
      <c r="Q99">
        <v>103.974557425797</v>
      </c>
      <c r="R99">
        <v>131.23028717348399</v>
      </c>
      <c r="S99" t="s">
        <v>229</v>
      </c>
      <c r="T99">
        <v>1</v>
      </c>
      <c r="U99">
        <v>122.44398187829</v>
      </c>
      <c r="V99">
        <v>0.81272192971715396</v>
      </c>
      <c r="W99">
        <v>15012.913</v>
      </c>
      <c r="X99">
        <v>8.7411608375725907E-3</v>
      </c>
      <c r="Y99">
        <v>10.330525398254389</v>
      </c>
      <c r="Z99">
        <v>6.6956191062927246</v>
      </c>
      <c r="AA99">
        <f t="shared" si="5"/>
        <v>-1.4706733135246425E-2</v>
      </c>
      <c r="AB99">
        <f t="shared" si="6"/>
        <v>-0.78006722857788113</v>
      </c>
      <c r="AC99" s="13">
        <f t="shared" si="7"/>
        <v>-0.35303673996459967</v>
      </c>
      <c r="AD99" s="13"/>
      <c r="AE99" s="13"/>
      <c r="AF99" s="13"/>
    </row>
    <row r="100" spans="1:32">
      <c r="A100" s="1" t="s">
        <v>230</v>
      </c>
      <c r="B100">
        <v>219.48998061949828</v>
      </c>
      <c r="C100">
        <v>20.736784975254604</v>
      </c>
      <c r="D100">
        <v>32.376793999999997</v>
      </c>
      <c r="E100">
        <v>5340.7179999999998</v>
      </c>
      <c r="F100">
        <v>5308.3412060000001</v>
      </c>
      <c r="G100">
        <v>0.60230547550432278</v>
      </c>
      <c r="H100">
        <v>5.807065176888538E-2</v>
      </c>
      <c r="I100">
        <v>38.536748692584574</v>
      </c>
      <c r="J100">
        <v>27.86145670558572</v>
      </c>
      <c r="K100">
        <v>1</v>
      </c>
      <c r="L100">
        <f t="shared" si="4"/>
        <v>3.7249588303793719</v>
      </c>
      <c r="M100" t="s">
        <v>31</v>
      </c>
      <c r="N100">
        <v>357</v>
      </c>
      <c r="O100">
        <v>25</v>
      </c>
      <c r="P100">
        <v>1074</v>
      </c>
      <c r="Q100">
        <v>584.49384586429596</v>
      </c>
      <c r="R100">
        <v>737.71215904088604</v>
      </c>
      <c r="S100" t="s">
        <v>231</v>
      </c>
      <c r="T100">
        <v>0</v>
      </c>
      <c r="U100">
        <v>0</v>
      </c>
      <c r="V100">
        <v>0</v>
      </c>
      <c r="W100">
        <v>6161.9663</v>
      </c>
      <c r="X100">
        <v>0.119720252128105</v>
      </c>
      <c r="Y100">
        <v>8.5903568267822266</v>
      </c>
      <c r="Z100">
        <v>11.69077110290527</v>
      </c>
      <c r="AA100">
        <f t="shared" si="5"/>
        <v>-4.9912348128821693E-3</v>
      </c>
      <c r="AB100">
        <f t="shared" si="6"/>
        <v>-0.78781033104758302</v>
      </c>
      <c r="AC100" s="13">
        <f t="shared" si="7"/>
        <v>0.11318011286177633</v>
      </c>
      <c r="AD100" s="13"/>
      <c r="AE100" s="13"/>
      <c r="AF100" s="13"/>
    </row>
    <row r="101" spans="1:32">
      <c r="A101" s="1" t="s">
        <v>232</v>
      </c>
      <c r="B101">
        <v>195.87228886196485</v>
      </c>
      <c r="C101">
        <v>33.807304317446999</v>
      </c>
      <c r="D101">
        <v>6128.3662666666669</v>
      </c>
      <c r="E101">
        <v>11454.019999999999</v>
      </c>
      <c r="F101">
        <v>5325.6537333333335</v>
      </c>
      <c r="G101">
        <v>0.48450704225352115</v>
      </c>
      <c r="H101">
        <v>0.12375609531197755</v>
      </c>
      <c r="I101">
        <v>23.690104366248239</v>
      </c>
      <c r="J101">
        <v>9.4701586479935784</v>
      </c>
      <c r="K101">
        <v>1</v>
      </c>
      <c r="L101">
        <f t="shared" si="4"/>
        <v>3.7263729257921265</v>
      </c>
      <c r="M101" t="s">
        <v>31</v>
      </c>
      <c r="N101">
        <v>365</v>
      </c>
      <c r="O101">
        <v>44</v>
      </c>
      <c r="P101">
        <v>1098</v>
      </c>
      <c r="Q101">
        <v>1006.22372241031</v>
      </c>
      <c r="R101">
        <v>1269.99365346579</v>
      </c>
      <c r="S101" t="s">
        <v>233</v>
      </c>
      <c r="T101">
        <v>0</v>
      </c>
      <c r="U101">
        <v>0</v>
      </c>
      <c r="V101">
        <v>0</v>
      </c>
      <c r="W101">
        <v>12613.013000000001</v>
      </c>
      <c r="X101">
        <v>0.100689157576052</v>
      </c>
      <c r="Y101">
        <v>11.263120651245121</v>
      </c>
      <c r="Z101">
        <v>8.0699291229248047</v>
      </c>
      <c r="AA101">
        <f t="shared" si="5"/>
        <v>-3.8489270948103512E-3</v>
      </c>
      <c r="AB101">
        <f t="shared" si="6"/>
        <v>-0.78104706708250038</v>
      </c>
      <c r="AC101" s="13">
        <f t="shared" si="7"/>
        <v>0.52235739360126443</v>
      </c>
      <c r="AD101" s="13"/>
      <c r="AE101" s="13"/>
      <c r="AF101" s="13"/>
    </row>
    <row r="102" spans="1:32">
      <c r="A102" s="1" t="s">
        <v>234</v>
      </c>
      <c r="B102">
        <v>784.0665465080541</v>
      </c>
      <c r="C102">
        <v>25.408100299480509</v>
      </c>
      <c r="D102">
        <v>3235.259066666667</v>
      </c>
      <c r="E102">
        <v>8598.3908666666666</v>
      </c>
      <c r="F102">
        <v>5363.1318000000001</v>
      </c>
      <c r="G102">
        <v>0.65581395348837201</v>
      </c>
      <c r="H102">
        <v>0.11024116912499375</v>
      </c>
      <c r="I102">
        <v>26.50463385195032</v>
      </c>
      <c r="J102">
        <v>12.432660453497604</v>
      </c>
      <c r="K102">
        <v>1</v>
      </c>
      <c r="L102">
        <f t="shared" si="4"/>
        <v>3.729418469965001</v>
      </c>
      <c r="M102" t="s">
        <v>31</v>
      </c>
      <c r="N102">
        <v>440</v>
      </c>
      <c r="O102">
        <v>27</v>
      </c>
      <c r="P102">
        <v>1323</v>
      </c>
      <c r="Q102">
        <v>512.44603302714597</v>
      </c>
      <c r="R102">
        <v>646.77784392645901</v>
      </c>
      <c r="S102" t="s">
        <v>235</v>
      </c>
      <c r="T102">
        <v>0</v>
      </c>
      <c r="U102">
        <v>0</v>
      </c>
      <c r="V102">
        <v>0</v>
      </c>
      <c r="W102">
        <v>9536.6970000000001</v>
      </c>
      <c r="X102">
        <v>6.7819900739895495E-2</v>
      </c>
      <c r="Y102">
        <v>8.6861371994018555</v>
      </c>
      <c r="Z102">
        <v>7.6676912307739258</v>
      </c>
      <c r="AA102">
        <f t="shared" si="5"/>
        <v>-1.3760654503227638E-3</v>
      </c>
      <c r="AB102">
        <f t="shared" si="6"/>
        <v>-0.78243862369444916</v>
      </c>
      <c r="AC102" s="13">
        <f t="shared" si="7"/>
        <v>4.3276770036321854E-2</v>
      </c>
      <c r="AD102" s="13"/>
      <c r="AE102" s="13"/>
      <c r="AF102" s="13"/>
    </row>
    <row r="103" spans="1:32">
      <c r="A103" s="1" t="s">
        <v>236</v>
      </c>
      <c r="B103">
        <v>185.53033017800465</v>
      </c>
      <c r="C103">
        <v>13.785429987381722</v>
      </c>
      <c r="D103">
        <v>620.81052</v>
      </c>
      <c r="E103">
        <v>6107.9349000000002</v>
      </c>
      <c r="F103">
        <v>5487.1243799999984</v>
      </c>
      <c r="G103">
        <v>0.48425925925925928</v>
      </c>
      <c r="H103">
        <v>0.14254752656579792</v>
      </c>
      <c r="I103" t="e">
        <v>#DIV/0!</v>
      </c>
      <c r="J103" t="e">
        <v>#DIV/0!</v>
      </c>
      <c r="K103">
        <v>1</v>
      </c>
      <c r="L103">
        <f t="shared" si="4"/>
        <v>3.7393448047259552</v>
      </c>
      <c r="M103" t="s">
        <v>31</v>
      </c>
      <c r="N103">
        <v>370</v>
      </c>
      <c r="O103">
        <v>10</v>
      </c>
      <c r="P103">
        <v>1113</v>
      </c>
      <c r="Q103">
        <v>225.60517177295699</v>
      </c>
      <c r="R103">
        <v>284.744962734919</v>
      </c>
      <c r="S103" t="s">
        <v>237</v>
      </c>
      <c r="T103">
        <v>0</v>
      </c>
      <c r="U103">
        <v>0</v>
      </c>
      <c r="V103">
        <v>0</v>
      </c>
      <c r="W103">
        <v>6106.6639999999998</v>
      </c>
      <c r="X103">
        <v>4.66285622943916E-2</v>
      </c>
      <c r="Y103">
        <v>11.512277603149411</v>
      </c>
      <c r="Z103">
        <v>7.9669632911682129</v>
      </c>
      <c r="AA103">
        <f t="shared" si="5"/>
        <v>6.8051595314814013E-3</v>
      </c>
      <c r="AB103">
        <f t="shared" si="6"/>
        <v>-0.77911221815713805</v>
      </c>
      <c r="AC103" s="13">
        <f t="shared" si="7"/>
        <v>-0.23502640491115187</v>
      </c>
      <c r="AD103" s="13"/>
      <c r="AE103" s="13"/>
      <c r="AF103" s="13"/>
    </row>
    <row r="104" spans="1:32">
      <c r="A104" s="1" t="s">
        <v>238</v>
      </c>
      <c r="B104">
        <v>6317.0876124271936</v>
      </c>
      <c r="C104">
        <v>46.302524642176309</v>
      </c>
      <c r="D104">
        <v>122.85530833333333</v>
      </c>
      <c r="E104">
        <v>5760.2251666666671</v>
      </c>
      <c r="F104">
        <v>5637.3698583333344</v>
      </c>
      <c r="G104">
        <v>0.69771241830065356</v>
      </c>
      <c r="H104">
        <v>5.9849496780661725E-2</v>
      </c>
      <c r="I104">
        <v>22.963089415874009</v>
      </c>
      <c r="J104">
        <v>5.9818288495399106</v>
      </c>
      <c r="K104">
        <v>1</v>
      </c>
      <c r="L104">
        <f t="shared" si="4"/>
        <v>3.7510765290837842</v>
      </c>
      <c r="M104" t="s">
        <v>31</v>
      </c>
      <c r="N104">
        <v>418</v>
      </c>
      <c r="O104">
        <v>5</v>
      </c>
      <c r="P104">
        <v>1257</v>
      </c>
      <c r="Q104">
        <v>99.880093947216295</v>
      </c>
      <c r="R104">
        <v>126.062507368323</v>
      </c>
      <c r="S104" t="s">
        <v>239</v>
      </c>
      <c r="T104">
        <v>0</v>
      </c>
      <c r="U104">
        <v>0</v>
      </c>
      <c r="V104">
        <v>0</v>
      </c>
      <c r="W104">
        <v>7134.4252999999999</v>
      </c>
      <c r="X104">
        <v>1.7669609263176799E-2</v>
      </c>
      <c r="Y104">
        <v>10.333443641662599</v>
      </c>
      <c r="Z104">
        <v>6.9153313636779794</v>
      </c>
      <c r="AA104">
        <f t="shared" si="5"/>
        <v>1.6718591938032035E-2</v>
      </c>
      <c r="AB104">
        <f t="shared" si="6"/>
        <v>-0.7876271732927036</v>
      </c>
      <c r="AC104" s="13">
        <f t="shared" si="7"/>
        <v>-0.35700933362093262</v>
      </c>
      <c r="AD104" s="13"/>
      <c r="AE104" s="13"/>
      <c r="AF104" s="13"/>
    </row>
    <row r="105" spans="1:32">
      <c r="A105" s="1" t="s">
        <v>240</v>
      </c>
      <c r="B105">
        <v>5436.8215214960428</v>
      </c>
      <c r="C105">
        <v>331.73161951407189</v>
      </c>
      <c r="D105">
        <v>4668.9531333333334</v>
      </c>
      <c r="E105">
        <v>10323.708333333334</v>
      </c>
      <c r="F105">
        <v>5654.7551999999996</v>
      </c>
      <c r="G105">
        <v>0.61917562724014341</v>
      </c>
      <c r="H105">
        <v>5.0802510757264684E-2</v>
      </c>
      <c r="I105">
        <v>28.268578028185072</v>
      </c>
      <c r="J105">
        <v>10.718825587061987</v>
      </c>
      <c r="K105">
        <v>1</v>
      </c>
      <c r="L105">
        <f t="shared" si="4"/>
        <v>3.7524138086265695</v>
      </c>
      <c r="M105" t="s">
        <v>31</v>
      </c>
      <c r="N105">
        <v>382</v>
      </c>
      <c r="O105">
        <v>10</v>
      </c>
      <c r="P105">
        <v>1149</v>
      </c>
      <c r="Q105">
        <v>218.53660242236899</v>
      </c>
      <c r="R105">
        <v>275.82344954218001</v>
      </c>
      <c r="S105" t="s">
        <v>241</v>
      </c>
      <c r="T105">
        <v>2</v>
      </c>
      <c r="U105">
        <v>244.887963756581</v>
      </c>
      <c r="V105">
        <v>0.97526631566058497</v>
      </c>
      <c r="W105">
        <v>11170.31</v>
      </c>
      <c r="X105">
        <v>2.46925510162368E-2</v>
      </c>
      <c r="Y105">
        <v>11.4481315612793</v>
      </c>
      <c r="Z105">
        <v>8.8061351776123047</v>
      </c>
      <c r="AA105">
        <f t="shared" si="5"/>
        <v>1.7865704060068082E-2</v>
      </c>
      <c r="AB105">
        <f t="shared" si="6"/>
        <v>-0.78855869101206721</v>
      </c>
      <c r="AC105" s="13">
        <f t="shared" si="7"/>
        <v>-0.24188458154611103</v>
      </c>
      <c r="AD105" s="13"/>
      <c r="AE105" s="13"/>
      <c r="AF105" s="13"/>
    </row>
    <row r="106" spans="1:32">
      <c r="A106" s="1" t="s">
        <v>242</v>
      </c>
      <c r="B106">
        <v>359.06493896008732</v>
      </c>
      <c r="C106">
        <v>8.2279745541316593</v>
      </c>
      <c r="D106">
        <v>66.368094999999997</v>
      </c>
      <c r="E106">
        <v>5882.1032333333324</v>
      </c>
      <c r="F106">
        <v>5815.7351383333335</v>
      </c>
      <c r="G106">
        <v>0.54646464646464654</v>
      </c>
      <c r="H106">
        <v>7.0713610168553862E-2</v>
      </c>
      <c r="I106">
        <v>0.69749005585790069</v>
      </c>
      <c r="J106">
        <v>0.33043879195498688</v>
      </c>
      <c r="K106">
        <v>1</v>
      </c>
      <c r="L106">
        <f t="shared" si="4"/>
        <v>3.7646046195532548</v>
      </c>
      <c r="M106" t="s">
        <v>31</v>
      </c>
      <c r="N106">
        <v>340</v>
      </c>
      <c r="O106">
        <v>25</v>
      </c>
      <c r="P106">
        <v>1023</v>
      </c>
      <c r="Q106">
        <v>613.63283524756105</v>
      </c>
      <c r="R106">
        <v>774.48959805465495</v>
      </c>
      <c r="S106" t="s">
        <v>243</v>
      </c>
      <c r="T106">
        <v>1</v>
      </c>
      <c r="U106">
        <v>122.44398187829</v>
      </c>
      <c r="V106">
        <v>0.19505326313211699</v>
      </c>
      <c r="W106">
        <v>7210.0029999999997</v>
      </c>
      <c r="X106">
        <v>0.107418762246653</v>
      </c>
      <c r="Y106">
        <v>10.054354667663571</v>
      </c>
      <c r="Z106">
        <v>10.064976692199711</v>
      </c>
      <c r="AA106">
        <f t="shared" si="5"/>
        <v>2.848741298056948E-2</v>
      </c>
      <c r="AB106">
        <f t="shared" si="6"/>
        <v>-0.78650855609800208</v>
      </c>
      <c r="AC106" s="13">
        <f t="shared" si="7"/>
        <v>0.1414517936281266</v>
      </c>
      <c r="AD106" s="13"/>
      <c r="AE106" s="13"/>
      <c r="AF106" s="13"/>
    </row>
    <row r="107" spans="1:32">
      <c r="A107" s="1" t="s">
        <v>244</v>
      </c>
      <c r="B107">
        <v>5423.7243089896265</v>
      </c>
      <c r="C107">
        <v>187.25789592747799</v>
      </c>
      <c r="D107">
        <v>1067.5194166666668</v>
      </c>
      <c r="E107">
        <v>7138.2420666666667</v>
      </c>
      <c r="F107">
        <v>6070.7226499999997</v>
      </c>
      <c r="G107">
        <v>0.67948717948717952</v>
      </c>
      <c r="H107">
        <v>4.951383659595953E-2</v>
      </c>
      <c r="I107">
        <v>24.791517068540049</v>
      </c>
      <c r="J107">
        <v>14.45071369783661</v>
      </c>
      <c r="K107">
        <v>1</v>
      </c>
      <c r="L107">
        <f t="shared" si="4"/>
        <v>3.7832403919363622</v>
      </c>
      <c r="M107" t="s">
        <v>31</v>
      </c>
      <c r="N107">
        <v>374</v>
      </c>
      <c r="O107">
        <v>41</v>
      </c>
      <c r="P107">
        <v>1125</v>
      </c>
      <c r="Q107">
        <v>915.11473809025597</v>
      </c>
      <c r="R107">
        <v>1155.00150084289</v>
      </c>
      <c r="S107" t="s">
        <v>245</v>
      </c>
      <c r="T107">
        <v>5</v>
      </c>
      <c r="U107">
        <v>612.21990939145303</v>
      </c>
      <c r="V107">
        <v>0.59467458271986895</v>
      </c>
      <c r="W107">
        <v>7051.3734999999997</v>
      </c>
      <c r="X107">
        <v>0.163798088534509</v>
      </c>
      <c r="Y107">
        <v>10.9974308013916</v>
      </c>
      <c r="Z107">
        <v>8.4395627975463867</v>
      </c>
      <c r="AA107">
        <f t="shared" si="5"/>
        <v>4.5311889094345324E-2</v>
      </c>
      <c r="AB107">
        <f t="shared" si="6"/>
        <v>-0.7886913786068791</v>
      </c>
      <c r="AC107" s="13">
        <f t="shared" si="7"/>
        <v>0.43396022629517045</v>
      </c>
      <c r="AD107" s="13"/>
      <c r="AE107" s="13"/>
      <c r="AF107" s="13"/>
    </row>
    <row r="108" spans="1:32">
      <c r="A108" s="1" t="s">
        <v>246</v>
      </c>
      <c r="B108">
        <v>651.76908434401048</v>
      </c>
      <c r="C108">
        <v>186.56397025046422</v>
      </c>
      <c r="D108">
        <v>18151.284</v>
      </c>
      <c r="E108">
        <v>24391.934000000005</v>
      </c>
      <c r="F108">
        <v>6240.6500000000005</v>
      </c>
      <c r="G108">
        <v>0.47027027027027024</v>
      </c>
      <c r="H108">
        <v>3.2916607616756384</v>
      </c>
      <c r="I108">
        <v>30.920367921526296</v>
      </c>
      <c r="J108">
        <v>11.68257246003728</v>
      </c>
      <c r="K108">
        <v>0</v>
      </c>
      <c r="L108">
        <f t="shared" si="4"/>
        <v>3.7952298263349209</v>
      </c>
      <c r="M108" t="s">
        <v>31</v>
      </c>
      <c r="N108">
        <v>380</v>
      </c>
      <c r="O108">
        <v>7</v>
      </c>
      <c r="P108">
        <v>1143</v>
      </c>
      <c r="Q108">
        <v>153.77864333185499</v>
      </c>
      <c r="R108">
        <v>194.089939166032</v>
      </c>
      <c r="S108" t="s">
        <v>247</v>
      </c>
      <c r="T108">
        <v>4</v>
      </c>
      <c r="U108">
        <v>489.775927513162</v>
      </c>
      <c r="V108">
        <v>2.78647518760167</v>
      </c>
      <c r="W108">
        <v>25848.205000000002</v>
      </c>
      <c r="X108">
        <v>7.5088362679742197E-3</v>
      </c>
      <c r="Y108">
        <v>9.3863677978515625</v>
      </c>
      <c r="Z108">
        <v>11.21071815490723</v>
      </c>
      <c r="AA108">
        <f t="shared" si="5"/>
        <v>5.6523962275755096E-2</v>
      </c>
      <c r="AB108">
        <f t="shared" si="6"/>
        <v>-0.4548655827361397</v>
      </c>
      <c r="AC108" s="13">
        <f t="shared" si="7"/>
        <v>-0.30471504976883002</v>
      </c>
      <c r="AD108" s="13"/>
      <c r="AE108" s="13"/>
      <c r="AF108" s="13"/>
    </row>
    <row r="109" spans="1:32">
      <c r="A109" s="1" t="s">
        <v>248</v>
      </c>
      <c r="B109">
        <v>2684.6468671306702</v>
      </c>
      <c r="C109">
        <v>288.46396867081916</v>
      </c>
      <c r="D109">
        <v>6318.2951333333331</v>
      </c>
      <c r="E109">
        <v>12610.418333333335</v>
      </c>
      <c r="F109">
        <v>6292.1231999999991</v>
      </c>
      <c r="G109">
        <v>0.72735507246376807</v>
      </c>
      <c r="H109">
        <v>4.9758210528169818E-2</v>
      </c>
      <c r="I109">
        <v>21.724960297163708</v>
      </c>
      <c r="J109">
        <v>8.4713814574113773</v>
      </c>
      <c r="K109">
        <v>1</v>
      </c>
      <c r="L109">
        <f t="shared" si="4"/>
        <v>3.7987972175361748</v>
      </c>
      <c r="M109" t="s">
        <v>31</v>
      </c>
      <c r="N109">
        <v>378</v>
      </c>
      <c r="O109">
        <v>3</v>
      </c>
      <c r="P109">
        <v>1137</v>
      </c>
      <c r="Q109">
        <v>66.2529171987604</v>
      </c>
      <c r="R109">
        <v>83.620354491811298</v>
      </c>
      <c r="S109" t="s">
        <v>249</v>
      </c>
      <c r="T109">
        <v>0</v>
      </c>
      <c r="U109">
        <v>0</v>
      </c>
      <c r="V109">
        <v>0</v>
      </c>
      <c r="W109">
        <v>13519.295</v>
      </c>
      <c r="X109">
        <v>6.1852599926113996E-3</v>
      </c>
      <c r="Y109">
        <v>10.90036010742188</v>
      </c>
      <c r="Z109">
        <v>7.6969485282897949</v>
      </c>
      <c r="AA109">
        <f t="shared" si="5"/>
        <v>5.9920244776961187E-2</v>
      </c>
      <c r="AB109">
        <f t="shared" si="6"/>
        <v>-0.78866621678531612</v>
      </c>
      <c r="AC109" s="13">
        <f t="shared" si="7"/>
        <v>-0.38963561291982896</v>
      </c>
      <c r="AD109" s="13"/>
      <c r="AE109" s="13"/>
      <c r="AF109" s="13"/>
    </row>
    <row r="110" spans="1:32">
      <c r="A110" s="1" t="s">
        <v>250</v>
      </c>
      <c r="B110">
        <v>5223.088598014835</v>
      </c>
      <c r="C110">
        <v>340.69686768860714</v>
      </c>
      <c r="D110">
        <v>281.00704999999999</v>
      </c>
      <c r="E110">
        <v>6613.1617666666671</v>
      </c>
      <c r="F110">
        <v>6332.1547166666669</v>
      </c>
      <c r="G110">
        <v>0.6711711711711712</v>
      </c>
      <c r="H110">
        <v>7.8323717202608778E-2</v>
      </c>
      <c r="I110">
        <v>18.410475437265838</v>
      </c>
      <c r="J110">
        <v>0.56550537394475131</v>
      </c>
      <c r="K110">
        <v>1</v>
      </c>
      <c r="L110">
        <f t="shared" si="4"/>
        <v>3.8015515176517383</v>
      </c>
      <c r="M110" t="s">
        <v>31</v>
      </c>
      <c r="N110">
        <v>380</v>
      </c>
      <c r="O110">
        <v>3</v>
      </c>
      <c r="P110">
        <v>1143</v>
      </c>
      <c r="Q110">
        <v>65.905132856509695</v>
      </c>
      <c r="R110">
        <v>83.181402499728307</v>
      </c>
      <c r="S110" t="s">
        <v>251</v>
      </c>
      <c r="T110">
        <v>1</v>
      </c>
      <c r="U110">
        <v>122.44398187829</v>
      </c>
      <c r="V110">
        <v>1.6254438594342999</v>
      </c>
      <c r="W110">
        <v>7140.1333000000004</v>
      </c>
      <c r="X110">
        <v>1.1649838876219299E-2</v>
      </c>
      <c r="Y110">
        <v>10.81494617462158</v>
      </c>
      <c r="Z110">
        <v>8.763606071472168</v>
      </c>
      <c r="AA110">
        <f t="shared" si="5"/>
        <v>6.2561587058998197E-2</v>
      </c>
      <c r="AB110">
        <f t="shared" si="6"/>
        <v>-0.78572498579844119</v>
      </c>
      <c r="AC110" s="13">
        <f t="shared" si="7"/>
        <v>-0.38997304562109125</v>
      </c>
      <c r="AD110" s="13"/>
      <c r="AE110" s="13"/>
      <c r="AF110" s="13"/>
    </row>
    <row r="111" spans="1:32">
      <c r="A111" s="1" t="s">
        <v>252</v>
      </c>
      <c r="B111">
        <v>6266.8937569962009</v>
      </c>
      <c r="C111">
        <v>74.347255282862506</v>
      </c>
      <c r="D111">
        <v>1103.894284</v>
      </c>
      <c r="E111">
        <v>7523.8800666666675</v>
      </c>
      <c r="F111">
        <v>6419.9857826666666</v>
      </c>
      <c r="G111">
        <v>0.49152542372881358</v>
      </c>
      <c r="H111">
        <v>7.5584480505996046E-2</v>
      </c>
      <c r="I111">
        <v>16.580015458044063</v>
      </c>
      <c r="J111">
        <v>6.4368926070537773</v>
      </c>
      <c r="K111">
        <v>1</v>
      </c>
      <c r="L111">
        <f t="shared" si="4"/>
        <v>3.8075340663061974</v>
      </c>
      <c r="M111" t="s">
        <v>31</v>
      </c>
      <c r="N111">
        <v>364</v>
      </c>
      <c r="O111">
        <v>6</v>
      </c>
      <c r="P111">
        <v>1095</v>
      </c>
      <c r="Q111">
        <v>137.58824996345299</v>
      </c>
      <c r="R111">
        <v>173.65542110902101</v>
      </c>
      <c r="S111" t="s">
        <v>253</v>
      </c>
      <c r="T111">
        <v>0</v>
      </c>
      <c r="U111">
        <v>0</v>
      </c>
      <c r="V111">
        <v>0</v>
      </c>
      <c r="W111">
        <v>9792.9639999999999</v>
      </c>
      <c r="X111">
        <v>1.7732672264395299E-2</v>
      </c>
      <c r="Y111">
        <v>12.88677406311035</v>
      </c>
      <c r="Z111">
        <v>11.98983669281006</v>
      </c>
      <c r="AA111">
        <f t="shared" si="5"/>
        <v>6.8356818607028719E-2</v>
      </c>
      <c r="AB111">
        <f t="shared" si="6"/>
        <v>-0.78600702973150649</v>
      </c>
      <c r="AC111" s="13">
        <f t="shared" si="7"/>
        <v>-0.32042354352517066</v>
      </c>
      <c r="AD111" s="13"/>
      <c r="AE111" s="13"/>
      <c r="AF111" s="13"/>
    </row>
    <row r="112" spans="1:32">
      <c r="A112" s="1" t="s">
        <v>254</v>
      </c>
      <c r="B112">
        <v>5779.255879474611</v>
      </c>
      <c r="C112">
        <v>121.8369040550314</v>
      </c>
      <c r="D112">
        <v>117526.15999999999</v>
      </c>
      <c r="E112">
        <v>123969.49666666666</v>
      </c>
      <c r="F112">
        <v>6443.3366666666652</v>
      </c>
      <c r="G112">
        <v>0.61569579288025889</v>
      </c>
      <c r="H112">
        <v>0.33080948390897918</v>
      </c>
      <c r="I112">
        <v>29.113891500876253</v>
      </c>
      <c r="J112">
        <v>7.2293451974738954</v>
      </c>
      <c r="K112">
        <v>1</v>
      </c>
      <c r="L112">
        <f t="shared" si="4"/>
        <v>3.8091108239826461</v>
      </c>
      <c r="M112" t="s">
        <v>31</v>
      </c>
      <c r="N112">
        <v>422</v>
      </c>
      <c r="O112">
        <v>11</v>
      </c>
      <c r="P112">
        <v>1269</v>
      </c>
      <c r="Q112">
        <v>217.658322932728</v>
      </c>
      <c r="R112">
        <v>274.71493922487099</v>
      </c>
      <c r="S112" t="s">
        <v>255</v>
      </c>
      <c r="T112">
        <v>3</v>
      </c>
      <c r="U112">
        <v>367.331945634872</v>
      </c>
      <c r="V112">
        <v>1.3299086122644299</v>
      </c>
      <c r="W112">
        <v>120505.52</v>
      </c>
      <c r="X112">
        <v>2.2796875962600798E-3</v>
      </c>
      <c r="Y112">
        <v>10.53634738922119</v>
      </c>
      <c r="Z112">
        <v>7.8971743583679199</v>
      </c>
      <c r="AA112">
        <f t="shared" si="5"/>
        <v>6.9897546572589259E-2</v>
      </c>
      <c r="AB112">
        <f t="shared" si="6"/>
        <v>-0.75972793385585635</v>
      </c>
      <c r="AC112" s="13">
        <f t="shared" si="7"/>
        <v>-0.24273671945069544</v>
      </c>
      <c r="AD112" s="13"/>
      <c r="AE112" s="13"/>
      <c r="AF112" s="13"/>
    </row>
    <row r="113" spans="1:32">
      <c r="A113" s="1" t="s">
        <v>256</v>
      </c>
      <c r="B113">
        <v>265.34024032476424</v>
      </c>
      <c r="C113">
        <v>37.122293118774451</v>
      </c>
      <c r="D113">
        <v>169.06477333333333</v>
      </c>
      <c r="E113">
        <v>6622.4082999999991</v>
      </c>
      <c r="F113">
        <v>6453.3435266666665</v>
      </c>
      <c r="G113">
        <v>0.67999999999999994</v>
      </c>
      <c r="H113">
        <v>0.22175053311811191</v>
      </c>
      <c r="I113">
        <v>1.6540832331495736</v>
      </c>
      <c r="J113">
        <v>0.29360189726286973</v>
      </c>
      <c r="K113">
        <v>1</v>
      </c>
      <c r="L113">
        <f t="shared" si="4"/>
        <v>3.8097847842400454</v>
      </c>
      <c r="M113" t="s">
        <v>31</v>
      </c>
      <c r="N113">
        <v>310</v>
      </c>
      <c r="O113">
        <v>8</v>
      </c>
      <c r="P113">
        <v>933</v>
      </c>
      <c r="Q113">
        <v>215.30422823862901</v>
      </c>
      <c r="R113">
        <v>271.74374578689299</v>
      </c>
      <c r="S113" t="s">
        <v>257</v>
      </c>
      <c r="T113">
        <v>0</v>
      </c>
      <c r="U113">
        <v>0</v>
      </c>
      <c r="V113">
        <v>0</v>
      </c>
      <c r="W113">
        <v>6952.3915999999999</v>
      </c>
      <c r="X113">
        <v>3.9086369327483397E-2</v>
      </c>
      <c r="Y113">
        <v>12.69816207885742</v>
      </c>
      <c r="Z113">
        <v>10.838577270507811</v>
      </c>
      <c r="AA113">
        <f t="shared" si="5"/>
        <v>7.0557814896882773E-2</v>
      </c>
      <c r="AB113">
        <f t="shared" si="6"/>
        <v>-0.77095712608121936</v>
      </c>
      <c r="AC113" s="13">
        <f t="shared" si="7"/>
        <v>-0.24502074559895812</v>
      </c>
      <c r="AD113" s="13"/>
      <c r="AE113" s="13"/>
      <c r="AF113" s="13"/>
    </row>
    <row r="114" spans="1:32">
      <c r="A114" s="1" t="s">
        <v>258</v>
      </c>
      <c r="B114">
        <v>351.59271435187861</v>
      </c>
      <c r="C114">
        <v>166.11651428031027</v>
      </c>
      <c r="D114">
        <v>45.494910333333337</v>
      </c>
      <c r="E114">
        <v>6609.5610333333343</v>
      </c>
      <c r="F114">
        <v>6564.0661230000005</v>
      </c>
      <c r="G114">
        <v>0.41520467836257308</v>
      </c>
      <c r="H114">
        <v>2.166172846642739</v>
      </c>
      <c r="I114">
        <v>36.125810296505932</v>
      </c>
      <c r="J114">
        <v>29.656845552255376</v>
      </c>
      <c r="K114">
        <v>0</v>
      </c>
      <c r="L114">
        <f t="shared" si="4"/>
        <v>3.8171729472606089</v>
      </c>
      <c r="M114" t="s">
        <v>31</v>
      </c>
      <c r="N114">
        <v>352</v>
      </c>
      <c r="O114">
        <v>12</v>
      </c>
      <c r="P114">
        <v>1059</v>
      </c>
      <c r="Q114">
        <v>284.53094185076702</v>
      </c>
      <c r="R114">
        <v>359.11744308664498</v>
      </c>
      <c r="S114" t="s">
        <v>259</v>
      </c>
      <c r="T114">
        <v>1</v>
      </c>
      <c r="U114">
        <v>122.44398187829</v>
      </c>
      <c r="V114">
        <v>0.40636096485857698</v>
      </c>
      <c r="W114">
        <v>6169.3374000000003</v>
      </c>
      <c r="X114">
        <v>5.82100507400755E-2</v>
      </c>
      <c r="Y114">
        <v>11.6765079498291</v>
      </c>
      <c r="Z114">
        <v>11.10574340820312</v>
      </c>
      <c r="AA114">
        <f t="shared" si="5"/>
        <v>7.7863465534787901E-2</v>
      </c>
      <c r="AB114">
        <f t="shared" si="6"/>
        <v>-0.57075079943387563</v>
      </c>
      <c r="AC114" s="13">
        <f t="shared" si="7"/>
        <v>-0.17785453327760897</v>
      </c>
      <c r="AD114" s="13"/>
      <c r="AE114" s="13"/>
      <c r="AF114" s="13"/>
    </row>
    <row r="115" spans="1:32">
      <c r="A115" s="1" t="s">
        <v>260</v>
      </c>
      <c r="B115">
        <v>3809.0528096307157</v>
      </c>
      <c r="C115">
        <v>241.28753005429411</v>
      </c>
      <c r="D115">
        <v>5659.9099333333334</v>
      </c>
      <c r="E115">
        <v>12250.973333333333</v>
      </c>
      <c r="F115">
        <v>6591.0633999999991</v>
      </c>
      <c r="G115">
        <v>0.5541666666666667</v>
      </c>
      <c r="H115">
        <v>0.33666901778034269</v>
      </c>
      <c r="I115">
        <v>23.311978044177824</v>
      </c>
      <c r="J115">
        <v>7.2884448092131642</v>
      </c>
      <c r="K115">
        <v>1</v>
      </c>
      <c r="L115">
        <f t="shared" si="4"/>
        <v>3.8189554891758615</v>
      </c>
      <c r="M115" t="s">
        <v>31</v>
      </c>
      <c r="N115">
        <v>410</v>
      </c>
      <c r="O115">
        <v>9</v>
      </c>
      <c r="P115">
        <v>1233</v>
      </c>
      <c r="Q115">
        <v>183.283617652045</v>
      </c>
      <c r="R115">
        <v>231.32930184231</v>
      </c>
      <c r="S115" t="s">
        <v>261</v>
      </c>
      <c r="T115">
        <v>1</v>
      </c>
      <c r="U115">
        <v>122.44398187829</v>
      </c>
      <c r="V115">
        <v>0.54181461981143597</v>
      </c>
      <c r="W115">
        <v>16702.342000000001</v>
      </c>
      <c r="X115">
        <v>1.3850111669507699E-2</v>
      </c>
      <c r="Y115">
        <v>9.8515071868896484</v>
      </c>
      <c r="Z115">
        <v>7.3616900444030762</v>
      </c>
      <c r="AA115">
        <f t="shared" si="5"/>
        <v>7.9644788231945082E-2</v>
      </c>
      <c r="AB115">
        <f t="shared" si="6"/>
        <v>-0.75912461031647316</v>
      </c>
      <c r="AC115" s="13">
        <f t="shared" si="7"/>
        <v>-0.27608827743887265</v>
      </c>
      <c r="AD115" s="13"/>
      <c r="AE115" s="13"/>
      <c r="AF115" s="13"/>
    </row>
    <row r="116" spans="1:32">
      <c r="A116" s="1" t="s">
        <v>262</v>
      </c>
      <c r="B116">
        <v>951.93164407954794</v>
      </c>
      <c r="C116">
        <v>187.99354927805322</v>
      </c>
      <c r="D116">
        <v>7418.2737000000006</v>
      </c>
      <c r="E116">
        <v>14190.447</v>
      </c>
      <c r="F116">
        <v>6772.1732999999995</v>
      </c>
      <c r="G116">
        <v>0.60681976339596377</v>
      </c>
      <c r="H116">
        <v>8.9095519616672045E-2</v>
      </c>
      <c r="I116">
        <v>23.10548120121199</v>
      </c>
      <c r="J116">
        <v>9.6693846147277807</v>
      </c>
      <c r="K116">
        <v>1</v>
      </c>
      <c r="L116">
        <f t="shared" si="4"/>
        <v>3.8307280631803575</v>
      </c>
      <c r="M116" t="s">
        <v>31</v>
      </c>
      <c r="N116">
        <v>489</v>
      </c>
      <c r="O116">
        <v>5</v>
      </c>
      <c r="P116">
        <v>1470</v>
      </c>
      <c r="Q116">
        <v>85.407672171191095</v>
      </c>
      <c r="R116">
        <v>107.796307321076</v>
      </c>
      <c r="S116" t="s">
        <v>263</v>
      </c>
      <c r="T116">
        <v>0</v>
      </c>
      <c r="U116">
        <v>0</v>
      </c>
      <c r="V116">
        <v>0</v>
      </c>
      <c r="W116">
        <v>15911.79</v>
      </c>
      <c r="X116">
        <v>6.7746185263302498E-3</v>
      </c>
      <c r="Y116">
        <v>9.6007356643676758</v>
      </c>
      <c r="Z116">
        <v>7.3604402542114258</v>
      </c>
      <c r="AA116">
        <f t="shared" si="5"/>
        <v>9.1594703608591635E-2</v>
      </c>
      <c r="AB116">
        <f t="shared" si="6"/>
        <v>-0.78461587335013705</v>
      </c>
      <c r="AC116" s="13">
        <f t="shared" si="7"/>
        <v>-0.37105099041918616</v>
      </c>
      <c r="AD116" s="13"/>
      <c r="AE116" s="13"/>
      <c r="AF116" s="13"/>
    </row>
    <row r="117" spans="1:32">
      <c r="A117" s="1" t="s">
        <v>264</v>
      </c>
      <c r="B117">
        <v>6404.8966561790221</v>
      </c>
      <c r="C117">
        <v>84.530243598923931</v>
      </c>
      <c r="D117">
        <v>8.4628108999999991</v>
      </c>
      <c r="E117">
        <v>6854.5940000000001</v>
      </c>
      <c r="F117">
        <v>6846.1311891000005</v>
      </c>
      <c r="G117">
        <v>0.60789473684210527</v>
      </c>
      <c r="H117">
        <v>4.2251258013201974E-2</v>
      </c>
      <c r="I117">
        <v>2.9157368450582362</v>
      </c>
      <c r="J117">
        <v>0.59264341196776593</v>
      </c>
      <c r="K117">
        <v>1</v>
      </c>
      <c r="L117">
        <f t="shared" si="4"/>
        <v>3.8354452170566526</v>
      </c>
      <c r="M117" t="s">
        <v>31</v>
      </c>
      <c r="N117">
        <v>390</v>
      </c>
      <c r="O117">
        <v>82</v>
      </c>
      <c r="P117">
        <v>1173</v>
      </c>
      <c r="Q117">
        <v>1755.3351753649399</v>
      </c>
      <c r="R117">
        <v>2215.4760246347</v>
      </c>
      <c r="S117" t="s">
        <v>265</v>
      </c>
      <c r="T117">
        <v>2</v>
      </c>
      <c r="U117">
        <v>244.887963756581</v>
      </c>
      <c r="V117">
        <v>0.11893491654397299</v>
      </c>
      <c r="W117">
        <v>7688.9549999999999</v>
      </c>
      <c r="X117">
        <v>0.28813746791790401</v>
      </c>
      <c r="Y117">
        <v>11.000961303710939</v>
      </c>
      <c r="Z117">
        <v>7.7030477523803711</v>
      </c>
      <c r="AA117">
        <f t="shared" si="5"/>
        <v>9.6474561176733531E-2</v>
      </c>
      <c r="AB117">
        <f t="shared" si="6"/>
        <v>-0.78943916583907037</v>
      </c>
      <c r="AC117" s="13">
        <f t="shared" si="7"/>
        <v>1.249171888702227</v>
      </c>
      <c r="AD117" s="13"/>
      <c r="AE117" s="13"/>
      <c r="AF117" s="13"/>
    </row>
    <row r="118" spans="1:32">
      <c r="A118" s="1" t="s">
        <v>266</v>
      </c>
      <c r="B118">
        <v>1262.1481876739181</v>
      </c>
      <c r="C118">
        <v>196.22984303943241</v>
      </c>
      <c r="D118">
        <v>2775.6239999999998</v>
      </c>
      <c r="E118">
        <v>9660.3484333333345</v>
      </c>
      <c r="F118">
        <v>6884.7244333333329</v>
      </c>
      <c r="G118">
        <v>0.55788423153692612</v>
      </c>
      <c r="H118">
        <v>0.2237418091567219</v>
      </c>
      <c r="I118">
        <v>29.467344165762398</v>
      </c>
      <c r="J118">
        <v>9.3840153080342859</v>
      </c>
      <c r="K118">
        <v>1</v>
      </c>
      <c r="L118">
        <f t="shared" si="4"/>
        <v>3.8378865619527414</v>
      </c>
      <c r="M118" t="s">
        <v>31</v>
      </c>
      <c r="N118">
        <v>344</v>
      </c>
      <c r="O118">
        <v>5</v>
      </c>
      <c r="P118">
        <v>1035</v>
      </c>
      <c r="Q118">
        <v>121.303650330097</v>
      </c>
      <c r="R118">
        <v>153.10200170239801</v>
      </c>
      <c r="S118" t="s">
        <v>267</v>
      </c>
      <c r="T118">
        <v>0</v>
      </c>
      <c r="U118">
        <v>0</v>
      </c>
      <c r="V118">
        <v>0</v>
      </c>
      <c r="W118">
        <v>12359.164000000001</v>
      </c>
      <c r="X118">
        <v>1.23877312172893E-2</v>
      </c>
      <c r="Y118">
        <v>11.7513484954834</v>
      </c>
      <c r="Z118">
        <v>12.06605052947998</v>
      </c>
      <c r="AA118">
        <f t="shared" si="5"/>
        <v>9.9021003986864697E-2</v>
      </c>
      <c r="AB118">
        <f t="shared" si="6"/>
        <v>-0.77075209548768109</v>
      </c>
      <c r="AC118" s="13">
        <f t="shared" si="7"/>
        <v>-0.3362234395403178</v>
      </c>
      <c r="AD118" s="13"/>
      <c r="AE118" s="13"/>
      <c r="AF118" s="13"/>
    </row>
    <row r="119" spans="1:32">
      <c r="A119" s="1" t="s">
        <v>268</v>
      </c>
      <c r="B119">
        <v>268.58826570733999</v>
      </c>
      <c r="C119">
        <v>26.288262829960352</v>
      </c>
      <c r="D119">
        <v>1151.5804866666667</v>
      </c>
      <c r="E119">
        <v>8071.8603333333331</v>
      </c>
      <c r="F119">
        <v>6920.2798466666673</v>
      </c>
      <c r="G119">
        <v>0.38277153558052435</v>
      </c>
      <c r="H119">
        <v>0.53168381214780891</v>
      </c>
      <c r="I119">
        <v>21.845056204815588</v>
      </c>
      <c r="J119">
        <v>3.3692997162853482</v>
      </c>
      <c r="K119">
        <v>1</v>
      </c>
      <c r="L119">
        <f t="shared" si="4"/>
        <v>3.8401236570876405</v>
      </c>
      <c r="M119" t="s">
        <v>31</v>
      </c>
      <c r="N119">
        <v>455</v>
      </c>
      <c r="O119">
        <v>6</v>
      </c>
      <c r="P119">
        <v>1368</v>
      </c>
      <c r="Q119">
        <v>110.13094569443</v>
      </c>
      <c r="R119">
        <v>139.00050154559801</v>
      </c>
      <c r="S119" t="s">
        <v>269</v>
      </c>
      <c r="T119">
        <v>0</v>
      </c>
      <c r="U119">
        <v>0</v>
      </c>
      <c r="V119">
        <v>0</v>
      </c>
      <c r="W119">
        <v>7503.8040000000001</v>
      </c>
      <c r="X119">
        <v>1.85240048308296E-2</v>
      </c>
      <c r="Y119">
        <v>9.8053207397460938</v>
      </c>
      <c r="Z119">
        <v>7.3824892044067383</v>
      </c>
      <c r="AA119">
        <f t="shared" si="5"/>
        <v>0.10136700594763567</v>
      </c>
      <c r="AB119">
        <f t="shared" si="6"/>
        <v>-0.73904502402977579</v>
      </c>
      <c r="AC119" s="13">
        <f t="shared" si="7"/>
        <v>-0.34706359376123624</v>
      </c>
      <c r="AD119" s="13"/>
      <c r="AE119" s="13"/>
      <c r="AF119" s="13"/>
    </row>
    <row r="120" spans="1:32">
      <c r="A120" s="1" t="s">
        <v>270</v>
      </c>
      <c r="B120">
        <v>147.51109365861279</v>
      </c>
      <c r="C120">
        <v>20.634427353070315</v>
      </c>
      <c r="D120">
        <v>9378.9531000000006</v>
      </c>
      <c r="E120">
        <v>16320.76</v>
      </c>
      <c r="F120">
        <v>6941.8069000000005</v>
      </c>
      <c r="G120">
        <v>0.61884961884961887</v>
      </c>
      <c r="H120">
        <v>0.10993785862841225</v>
      </c>
      <c r="I120">
        <v>17.235445880132207</v>
      </c>
      <c r="J120">
        <v>4.4561079951761471</v>
      </c>
      <c r="K120">
        <v>1</v>
      </c>
      <c r="L120">
        <f t="shared" si="4"/>
        <v>3.8414725287489855</v>
      </c>
      <c r="M120" t="s">
        <v>31</v>
      </c>
      <c r="N120">
        <v>491</v>
      </c>
      <c r="O120">
        <v>35</v>
      </c>
      <c r="P120">
        <v>1476</v>
      </c>
      <c r="Q120">
        <v>595.42340558370995</v>
      </c>
      <c r="R120">
        <v>751.50677664896796</v>
      </c>
      <c r="S120" t="s">
        <v>271</v>
      </c>
      <c r="T120">
        <v>1</v>
      </c>
      <c r="U120">
        <v>122.44398187829</v>
      </c>
      <c r="V120">
        <v>0.13932375938008301</v>
      </c>
      <c r="W120">
        <v>16037.501</v>
      </c>
      <c r="X120">
        <v>4.6859344024294501E-2</v>
      </c>
      <c r="Y120">
        <v>11.056037902832029</v>
      </c>
      <c r="Z120">
        <v>8.9569034576416016</v>
      </c>
      <c r="AA120">
        <f t="shared" si="5"/>
        <v>0.10278739470408625</v>
      </c>
      <c r="AB120">
        <f t="shared" si="6"/>
        <v>-0.78246985388550983</v>
      </c>
      <c r="AC120" s="13">
        <f t="shared" si="7"/>
        <v>0.12378435926304289</v>
      </c>
      <c r="AD120" s="13"/>
      <c r="AE120" s="13"/>
      <c r="AF120" s="13"/>
    </row>
    <row r="121" spans="1:32">
      <c r="A121" s="1" t="s">
        <v>272</v>
      </c>
      <c r="B121">
        <v>490.27581320431233</v>
      </c>
      <c r="C121">
        <v>39.209010188446605</v>
      </c>
      <c r="D121">
        <v>4472.2896666666666</v>
      </c>
      <c r="E121">
        <v>11544.224499999998</v>
      </c>
      <c r="F121">
        <v>7071.9348333333328</v>
      </c>
      <c r="G121">
        <v>0.54846335697399529</v>
      </c>
      <c r="H121">
        <v>0.10396151613158139</v>
      </c>
      <c r="I121">
        <v>5.0027452838880775</v>
      </c>
      <c r="J121">
        <v>1.3147273048440955</v>
      </c>
      <c r="K121">
        <v>1</v>
      </c>
      <c r="L121">
        <f t="shared" si="4"/>
        <v>3.8495382500742852</v>
      </c>
      <c r="M121" t="s">
        <v>31</v>
      </c>
      <c r="N121">
        <v>433</v>
      </c>
      <c r="O121">
        <v>15</v>
      </c>
      <c r="P121">
        <v>1302</v>
      </c>
      <c r="Q121">
        <v>289.28405090242097</v>
      </c>
      <c r="R121">
        <v>365.11652479719402</v>
      </c>
      <c r="S121" t="s">
        <v>273</v>
      </c>
      <c r="T121">
        <v>0</v>
      </c>
      <c r="U121">
        <v>0</v>
      </c>
      <c r="V121">
        <v>0</v>
      </c>
      <c r="W121">
        <v>12804.1875</v>
      </c>
      <c r="X121">
        <v>2.8515399731313999E-2</v>
      </c>
      <c r="Y121">
        <v>9.9244070053100586</v>
      </c>
      <c r="Z121">
        <v>9.2338457107543945</v>
      </c>
      <c r="AA121">
        <f t="shared" si="5"/>
        <v>0.11137343992564079</v>
      </c>
      <c r="AB121">
        <f t="shared" si="6"/>
        <v>-0.78308520455792019</v>
      </c>
      <c r="AC121" s="13">
        <f t="shared" si="7"/>
        <v>-0.17324289833075027</v>
      </c>
      <c r="AD121" s="13"/>
      <c r="AE121" s="13"/>
      <c r="AF121" s="13"/>
    </row>
    <row r="122" spans="1:32">
      <c r="A122" s="1" t="s">
        <v>274</v>
      </c>
      <c r="B122">
        <v>341.82355485253379</v>
      </c>
      <c r="C122">
        <v>18.773821595436001</v>
      </c>
      <c r="D122">
        <v>48.36136033333333</v>
      </c>
      <c r="E122">
        <v>7273.0091000000002</v>
      </c>
      <c r="F122">
        <v>7224.6477396666669</v>
      </c>
      <c r="G122">
        <v>0.48148148148148151</v>
      </c>
      <c r="H122">
        <v>5.6556022096319443E-2</v>
      </c>
      <c r="I122">
        <v>0.97829011557697354</v>
      </c>
      <c r="J122">
        <v>0.36163995163612511</v>
      </c>
      <c r="K122">
        <v>1</v>
      </c>
      <c r="L122">
        <f t="shared" si="4"/>
        <v>3.8588166765568173</v>
      </c>
      <c r="M122" t="s">
        <v>31</v>
      </c>
      <c r="N122">
        <v>370</v>
      </c>
      <c r="O122">
        <v>52</v>
      </c>
      <c r="P122">
        <v>1113</v>
      </c>
      <c r="Q122">
        <v>1173.14689321938</v>
      </c>
      <c r="R122">
        <v>1480.67380622157</v>
      </c>
      <c r="S122" t="s">
        <v>275</v>
      </c>
      <c r="T122">
        <v>0</v>
      </c>
      <c r="U122">
        <v>0</v>
      </c>
      <c r="V122">
        <v>0</v>
      </c>
      <c r="W122">
        <v>6768.4477999999999</v>
      </c>
      <c r="X122">
        <v>0.21876120640563601</v>
      </c>
      <c r="Y122">
        <v>11.187446594238279</v>
      </c>
      <c r="Z122">
        <v>8.2420024871826172</v>
      </c>
      <c r="AA122">
        <f t="shared" si="5"/>
        <v>0.12144967710320585</v>
      </c>
      <c r="AB122">
        <f t="shared" si="6"/>
        <v>-0.78796628402182445</v>
      </c>
      <c r="AC122" s="13">
        <f t="shared" si="7"/>
        <v>0.68431217300522296</v>
      </c>
      <c r="AD122" s="13"/>
      <c r="AE122" s="13"/>
      <c r="AF122" s="13"/>
    </row>
    <row r="123" spans="1:32">
      <c r="A123" s="1" t="s">
        <v>276</v>
      </c>
      <c r="B123">
        <v>2199.5181791390401</v>
      </c>
      <c r="C123">
        <v>431.98795794159543</v>
      </c>
      <c r="D123">
        <v>2273.8896799999998</v>
      </c>
      <c r="E123">
        <v>9532.1524666666664</v>
      </c>
      <c r="F123">
        <v>7258.2627866666689</v>
      </c>
      <c r="G123">
        <v>0.5626151012891345</v>
      </c>
      <c r="H123">
        <v>6.3543659922844678E-2</v>
      </c>
      <c r="I123">
        <v>7.2682454886987031</v>
      </c>
      <c r="J123">
        <v>1.8171134902187984</v>
      </c>
      <c r="K123">
        <v>1</v>
      </c>
      <c r="L123">
        <f t="shared" si="4"/>
        <v>3.8608326878564414</v>
      </c>
      <c r="M123" t="s">
        <v>31</v>
      </c>
      <c r="N123">
        <v>372</v>
      </c>
      <c r="O123">
        <v>14</v>
      </c>
      <c r="P123">
        <v>1119</v>
      </c>
      <c r="Q123">
        <v>314.15368959483698</v>
      </c>
      <c r="R123">
        <v>396.505452130072</v>
      </c>
      <c r="S123" t="s">
        <v>277</v>
      </c>
      <c r="T123">
        <v>0</v>
      </c>
      <c r="U123">
        <v>0</v>
      </c>
      <c r="V123">
        <v>0</v>
      </c>
      <c r="W123">
        <v>10734.245000000001</v>
      </c>
      <c r="X123">
        <v>3.69383642845931E-2</v>
      </c>
      <c r="Y123">
        <v>10.01022338867188</v>
      </c>
      <c r="Z123">
        <v>10.184768676757811</v>
      </c>
      <c r="AA123">
        <f t="shared" si="5"/>
        <v>0.12366765064872723</v>
      </c>
      <c r="AB123">
        <f t="shared" si="6"/>
        <v>-0.78724680590667429</v>
      </c>
      <c r="AC123" s="13">
        <f t="shared" si="7"/>
        <v>-0.14911349299556517</v>
      </c>
      <c r="AD123" s="13"/>
      <c r="AE123" s="13"/>
      <c r="AF123" s="13"/>
    </row>
    <row r="124" spans="1:32">
      <c r="A124" s="1" t="s">
        <v>278</v>
      </c>
      <c r="B124">
        <v>1241.13016541917</v>
      </c>
      <c r="C124">
        <v>138.82973316149025</v>
      </c>
      <c r="D124">
        <v>133165.31833333333</v>
      </c>
      <c r="E124">
        <v>140460.86666666667</v>
      </c>
      <c r="F124">
        <v>7295.548333333335</v>
      </c>
      <c r="G124">
        <v>0.55622489959839361</v>
      </c>
      <c r="H124">
        <v>0.21287859049757177</v>
      </c>
      <c r="I124">
        <v>0.88384012723599481</v>
      </c>
      <c r="J124">
        <v>0.44667199112156458</v>
      </c>
      <c r="K124">
        <v>1</v>
      </c>
      <c r="L124">
        <f t="shared" si="4"/>
        <v>3.8630579390247353</v>
      </c>
      <c r="M124" t="s">
        <v>31</v>
      </c>
      <c r="N124">
        <v>342</v>
      </c>
      <c r="O124">
        <v>69</v>
      </c>
      <c r="P124">
        <v>1029</v>
      </c>
      <c r="Q124">
        <v>1683.75125137491</v>
      </c>
      <c r="R124">
        <v>2125.1272014726501</v>
      </c>
      <c r="S124" t="s">
        <v>279</v>
      </c>
      <c r="T124">
        <v>1</v>
      </c>
      <c r="U124">
        <v>122.44398187829</v>
      </c>
      <c r="V124">
        <v>7.0671472149317696E-2</v>
      </c>
      <c r="W124">
        <v>146397.4</v>
      </c>
      <c r="X124">
        <v>1.4516153985471399E-2</v>
      </c>
      <c r="Y124">
        <v>11.92281532287598</v>
      </c>
      <c r="Z124">
        <v>9.3835220336914063</v>
      </c>
      <c r="AA124">
        <f t="shared" si="5"/>
        <v>0.12612780952153685</v>
      </c>
      <c r="AB124">
        <f t="shared" si="6"/>
        <v>-0.77187062055715172</v>
      </c>
      <c r="AC124" s="13">
        <f t="shared" si="7"/>
        <v>1.1797186272857172</v>
      </c>
      <c r="AD124" s="13"/>
      <c r="AE124" s="13"/>
      <c r="AF124" s="13"/>
    </row>
    <row r="125" spans="1:32">
      <c r="A125" s="1" t="s">
        <v>280</v>
      </c>
      <c r="B125">
        <v>5896.8463174470589</v>
      </c>
      <c r="C125">
        <v>168.73232034218549</v>
      </c>
      <c r="D125">
        <v>108.52145400000001</v>
      </c>
      <c r="E125">
        <v>7464.2897999999996</v>
      </c>
      <c r="F125">
        <v>7355.7683459999998</v>
      </c>
      <c r="G125">
        <v>0.53047619047619055</v>
      </c>
      <c r="H125">
        <v>6.3814696011831387E-2</v>
      </c>
      <c r="I125">
        <v>5.1145142295131931</v>
      </c>
      <c r="J125">
        <v>2.9665674664087627</v>
      </c>
      <c r="K125">
        <v>1</v>
      </c>
      <c r="L125">
        <f t="shared" si="4"/>
        <v>3.8666280436168718</v>
      </c>
      <c r="M125" t="s">
        <v>31</v>
      </c>
      <c r="N125">
        <v>360</v>
      </c>
      <c r="O125">
        <v>6</v>
      </c>
      <c r="P125">
        <v>1083</v>
      </c>
      <c r="Q125">
        <v>139.112773508754</v>
      </c>
      <c r="R125">
        <v>175.57958089970299</v>
      </c>
      <c r="S125" t="s">
        <v>281</v>
      </c>
      <c r="T125">
        <v>0</v>
      </c>
      <c r="U125">
        <v>0</v>
      </c>
      <c r="V125">
        <v>0</v>
      </c>
      <c r="W125">
        <v>7054.7929999999997</v>
      </c>
      <c r="X125">
        <v>2.4887984792708099E-2</v>
      </c>
      <c r="Y125">
        <v>8.1937446594238281</v>
      </c>
      <c r="Z125">
        <v>11.660971641540529</v>
      </c>
      <c r="AA125">
        <f t="shared" si="5"/>
        <v>0.1301012204468768</v>
      </c>
      <c r="AB125">
        <f t="shared" si="6"/>
        <v>-0.78721889883145335</v>
      </c>
      <c r="AC125" s="13">
        <f t="shared" si="7"/>
        <v>-0.31894439672201186</v>
      </c>
      <c r="AD125" s="13"/>
      <c r="AE125" s="13"/>
      <c r="AF125" s="13"/>
    </row>
    <row r="126" spans="1:32">
      <c r="A126" s="1" t="s">
        <v>282</v>
      </c>
      <c r="B126">
        <v>6389.5889812047908</v>
      </c>
      <c r="C126">
        <v>13.297526720783955</v>
      </c>
      <c r="D126">
        <v>1888.7837666666667</v>
      </c>
      <c r="E126">
        <v>9272.2785666666659</v>
      </c>
      <c r="F126">
        <v>7383.4948000000004</v>
      </c>
      <c r="G126">
        <v>0.64</v>
      </c>
      <c r="H126">
        <v>0.10119661964894121</v>
      </c>
      <c r="I126">
        <v>6.0989641955821474</v>
      </c>
      <c r="J126">
        <v>2.2314386694231003</v>
      </c>
      <c r="K126">
        <v>1</v>
      </c>
      <c r="L126">
        <f t="shared" si="4"/>
        <v>3.8682619733539516</v>
      </c>
      <c r="M126" t="s">
        <v>31</v>
      </c>
      <c r="N126">
        <v>460</v>
      </c>
      <c r="O126">
        <v>46</v>
      </c>
      <c r="P126">
        <v>1383</v>
      </c>
      <c r="Q126">
        <v>835.17957949615902</v>
      </c>
      <c r="R126">
        <v>1054.1122633479599</v>
      </c>
      <c r="S126" t="s">
        <v>283</v>
      </c>
      <c r="T126">
        <v>3</v>
      </c>
      <c r="U126">
        <v>367.331945634872</v>
      </c>
      <c r="V126">
        <v>0.31802162467192902</v>
      </c>
      <c r="W126">
        <v>10341.576999999999</v>
      </c>
      <c r="X126">
        <v>0.10192954743246201</v>
      </c>
      <c r="Y126">
        <v>9.1673793792724609</v>
      </c>
      <c r="Z126">
        <v>7.3803505897521973</v>
      </c>
      <c r="AA126">
        <f t="shared" si="5"/>
        <v>0.13193065538662604</v>
      </c>
      <c r="AB126">
        <f t="shared" si="6"/>
        <v>-0.78336989053611494</v>
      </c>
      <c r="AC126" s="13">
        <f t="shared" si="7"/>
        <v>0.35640430093154812</v>
      </c>
      <c r="AD126" s="13"/>
      <c r="AE126" s="13"/>
      <c r="AF126" s="13"/>
    </row>
    <row r="127" spans="1:32">
      <c r="A127" s="1" t="s">
        <v>284</v>
      </c>
      <c r="B127">
        <v>448.67548428614236</v>
      </c>
      <c r="C127">
        <v>29.967816901564575</v>
      </c>
      <c r="D127">
        <v>3508.4465333333333</v>
      </c>
      <c r="E127">
        <v>10981.288</v>
      </c>
      <c r="F127">
        <v>7472.8414666666677</v>
      </c>
      <c r="G127">
        <v>0.734375</v>
      </c>
      <c r="H127">
        <v>4.8258729611171634E-2</v>
      </c>
      <c r="I127">
        <v>2.9532316252711772</v>
      </c>
      <c r="J127">
        <v>2.5496378437734739</v>
      </c>
      <c r="K127">
        <v>1</v>
      </c>
      <c r="L127">
        <f t="shared" si="4"/>
        <v>3.8734857689707183</v>
      </c>
      <c r="M127" t="s">
        <v>31</v>
      </c>
      <c r="N127">
        <v>394</v>
      </c>
      <c r="O127">
        <v>138</v>
      </c>
      <c r="P127">
        <v>1185</v>
      </c>
      <c r="Q127">
        <v>2924.18571757769</v>
      </c>
      <c r="R127">
        <v>3690.7272410385799</v>
      </c>
      <c r="S127" t="s">
        <v>285</v>
      </c>
      <c r="T127">
        <v>0</v>
      </c>
      <c r="U127">
        <v>0</v>
      </c>
      <c r="V127">
        <v>0</v>
      </c>
      <c r="W127">
        <v>11341.066000000001</v>
      </c>
      <c r="X127">
        <v>0.325430364397718</v>
      </c>
      <c r="Y127">
        <v>10.61963558197021</v>
      </c>
      <c r="Z127">
        <v>7.1952686309814453</v>
      </c>
      <c r="AA127">
        <f t="shared" si="5"/>
        <v>0.1378258886447313</v>
      </c>
      <c r="AB127">
        <f t="shared" si="6"/>
        <v>-0.78882060997664172</v>
      </c>
      <c r="AC127" s="13">
        <f t="shared" si="7"/>
        <v>2.3832321321227723</v>
      </c>
      <c r="AD127" s="13"/>
      <c r="AE127" s="13"/>
      <c r="AF127" s="13"/>
    </row>
    <row r="128" spans="1:32">
      <c r="A128" s="1" t="s">
        <v>286</v>
      </c>
      <c r="B128">
        <v>152.94263348650614</v>
      </c>
      <c r="C128">
        <v>41.906200221065539</v>
      </c>
      <c r="D128">
        <v>276.96346333333332</v>
      </c>
      <c r="E128">
        <v>7774.6437666666652</v>
      </c>
      <c r="F128">
        <v>7497.6803033333345</v>
      </c>
      <c r="G128">
        <v>0.57958801498127344</v>
      </c>
      <c r="H128">
        <v>7.0343911905632467E-2</v>
      </c>
      <c r="I128">
        <v>21.047478004061663</v>
      </c>
      <c r="J128">
        <v>7.7780830322652799</v>
      </c>
      <c r="K128">
        <v>1</v>
      </c>
      <c r="L128">
        <f t="shared" si="4"/>
        <v>3.8749269184197201</v>
      </c>
      <c r="M128" t="s">
        <v>31</v>
      </c>
      <c r="N128">
        <v>366</v>
      </c>
      <c r="O128">
        <v>12</v>
      </c>
      <c r="P128">
        <v>1101</v>
      </c>
      <c r="Q128">
        <v>273.67690047226301</v>
      </c>
      <c r="R128">
        <v>345.41814008061499</v>
      </c>
      <c r="S128" t="s">
        <v>287</v>
      </c>
      <c r="T128">
        <v>1</v>
      </c>
      <c r="U128">
        <v>122.44398187829</v>
      </c>
      <c r="V128">
        <v>0.40636096485857698</v>
      </c>
      <c r="W128">
        <v>7909.8419999999996</v>
      </c>
      <c r="X128">
        <v>4.3669410853038E-2</v>
      </c>
      <c r="Y128">
        <v>9.03155517578125</v>
      </c>
      <c r="Z128">
        <v>10.851078033447269</v>
      </c>
      <c r="AA128">
        <f t="shared" si="5"/>
        <v>0.1394647940619449</v>
      </c>
      <c r="AB128">
        <f t="shared" si="6"/>
        <v>-0.78654662186729118</v>
      </c>
      <c r="AC128" s="13">
        <f t="shared" si="7"/>
        <v>-0.18838550910664911</v>
      </c>
      <c r="AD128" s="13"/>
      <c r="AE128" s="13"/>
      <c r="AF128" s="13"/>
    </row>
    <row r="129" spans="1:32">
      <c r="A129" s="1" t="s">
        <v>288</v>
      </c>
      <c r="B129">
        <v>528.22529146214254</v>
      </c>
      <c r="C129">
        <v>61.037412440236906</v>
      </c>
      <c r="D129">
        <v>236.7852</v>
      </c>
      <c r="E129">
        <v>7846.7069999999994</v>
      </c>
      <c r="F129">
        <v>7609.9218000000001</v>
      </c>
      <c r="G129">
        <v>0.43113772455089822</v>
      </c>
      <c r="H129">
        <v>9.9855902468188387E-2</v>
      </c>
      <c r="I129">
        <v>1.5221615981214294</v>
      </c>
      <c r="J129">
        <v>0.98186568028318244</v>
      </c>
      <c r="K129">
        <v>1</v>
      </c>
      <c r="L129">
        <f t="shared" si="4"/>
        <v>3.8813801939580919</v>
      </c>
      <c r="M129" t="s">
        <v>31</v>
      </c>
      <c r="N129">
        <v>344</v>
      </c>
      <c r="O129">
        <v>13</v>
      </c>
      <c r="P129">
        <v>1035</v>
      </c>
      <c r="Q129">
        <v>315.389490858253</v>
      </c>
      <c r="R129">
        <v>398.06520442623599</v>
      </c>
      <c r="S129" t="s">
        <v>289</v>
      </c>
      <c r="T129">
        <v>1</v>
      </c>
      <c r="U129">
        <v>122.44398187829</v>
      </c>
      <c r="V129">
        <v>0.37510242910022501</v>
      </c>
      <c r="W129">
        <v>8018.759</v>
      </c>
      <c r="X129">
        <v>4.9641746862106199E-2</v>
      </c>
      <c r="Y129">
        <v>9.9906530380249023</v>
      </c>
      <c r="Z129">
        <v>10.6467399597168</v>
      </c>
      <c r="AA129">
        <f t="shared" si="5"/>
        <v>0.1468706641271087</v>
      </c>
      <c r="AB129">
        <f t="shared" si="6"/>
        <v>-0.78350793671053109</v>
      </c>
      <c r="AC129" s="13">
        <f t="shared" si="7"/>
        <v>-0.14791447478836492</v>
      </c>
      <c r="AD129" s="13"/>
      <c r="AE129" s="13"/>
      <c r="AF129" s="13"/>
    </row>
    <row r="130" spans="1:32">
      <c r="A130" s="1" t="s">
        <v>290</v>
      </c>
      <c r="B130">
        <v>2766.2498937312344</v>
      </c>
      <c r="C130">
        <v>314.28189453079409</v>
      </c>
      <c r="D130">
        <v>107626.935</v>
      </c>
      <c r="E130">
        <v>115246.2</v>
      </c>
      <c r="F130">
        <v>7619.265000000004</v>
      </c>
      <c r="G130">
        <v>0.54106280193236711</v>
      </c>
      <c r="H130">
        <v>0.37262858029441742</v>
      </c>
      <c r="I130">
        <v>14.834986746244766</v>
      </c>
      <c r="J130">
        <v>8.0582061848490625</v>
      </c>
      <c r="K130">
        <v>1</v>
      </c>
      <c r="L130">
        <f t="shared" ref="L130:L193" si="8">LOG10(F130)</f>
        <v>3.8819130787096809</v>
      </c>
      <c r="M130" t="s">
        <v>31</v>
      </c>
      <c r="N130">
        <v>355</v>
      </c>
      <c r="O130">
        <v>54</v>
      </c>
      <c r="P130">
        <v>1068</v>
      </c>
      <c r="Q130">
        <v>1269.5994413762401</v>
      </c>
      <c r="R130">
        <v>1602.4102762447601</v>
      </c>
      <c r="S130" t="s">
        <v>291</v>
      </c>
      <c r="T130">
        <v>1</v>
      </c>
      <c r="U130">
        <v>122.44398187829</v>
      </c>
      <c r="V130">
        <v>9.0302436635239305E-2</v>
      </c>
      <c r="W130">
        <v>98390.266000000003</v>
      </c>
      <c r="X130">
        <v>1.62862683615955E-2</v>
      </c>
      <c r="Y130">
        <v>11.73853969573975</v>
      </c>
      <c r="Z130">
        <v>7.8728828430175781</v>
      </c>
      <c r="AA130">
        <f t="shared" ref="AA130:AA193" si="9">(F130-AVERAGE(F:F))/_xlfn.STDEV.P(F:F)</f>
        <v>0.14748714312327141</v>
      </c>
      <c r="AB130">
        <f t="shared" ref="AB130:AB193" si="10">(H130-AVERAGE(H:H))/_xlfn.STDEV.P(H:H)</f>
        <v>-0.75542205461717227</v>
      </c>
      <c r="AC130" s="13">
        <f t="shared" ref="AC130:AC193" si="11">(Q130-AVERAGE(Q:Q))/_xlfn.STDEV.P(Q:Q)</f>
        <v>0.77789385542821921</v>
      </c>
      <c r="AD130" s="13"/>
      <c r="AE130" s="13"/>
      <c r="AF130" s="13"/>
    </row>
    <row r="131" spans="1:32">
      <c r="A131" s="1" t="s">
        <v>292</v>
      </c>
      <c r="B131">
        <v>4777.8693686282886</v>
      </c>
      <c r="C131">
        <v>617.38582822355193</v>
      </c>
      <c r="D131">
        <v>8657.4731000000011</v>
      </c>
      <c r="E131">
        <v>16291.666666666666</v>
      </c>
      <c r="F131">
        <v>7634.1935666666659</v>
      </c>
      <c r="G131">
        <v>0.50896057347670254</v>
      </c>
      <c r="H131">
        <v>9.4273634026981676E-2</v>
      </c>
      <c r="I131">
        <v>2.7720474466080254</v>
      </c>
      <c r="J131">
        <v>1.0612597904502401</v>
      </c>
      <c r="K131">
        <v>1</v>
      </c>
      <c r="L131">
        <f t="shared" si="8"/>
        <v>3.8827631673853436</v>
      </c>
      <c r="M131" t="s">
        <v>31</v>
      </c>
      <c r="N131">
        <v>475</v>
      </c>
      <c r="O131">
        <v>97</v>
      </c>
      <c r="P131">
        <v>1428</v>
      </c>
      <c r="Q131">
        <v>1705.6414530658401</v>
      </c>
      <c r="R131">
        <v>2152.75566679444</v>
      </c>
      <c r="S131" t="s">
        <v>293</v>
      </c>
      <c r="T131">
        <v>0</v>
      </c>
      <c r="U131">
        <v>0</v>
      </c>
      <c r="V131">
        <v>0</v>
      </c>
      <c r="W131">
        <v>23647.530999999999</v>
      </c>
      <c r="X131">
        <v>9.1035113424502503E-2</v>
      </c>
      <c r="Y131">
        <v>10.42923736572266</v>
      </c>
      <c r="Z131">
        <v>7.21881103515625</v>
      </c>
      <c r="AA131">
        <f t="shared" si="9"/>
        <v>0.14847215337594802</v>
      </c>
      <c r="AB131">
        <f t="shared" si="10"/>
        <v>-0.78408271177415789</v>
      </c>
      <c r="AC131" s="13">
        <f t="shared" si="11"/>
        <v>1.2009572771914145</v>
      </c>
      <c r="AD131" s="13"/>
      <c r="AE131" s="13"/>
      <c r="AF131" s="13"/>
    </row>
    <row r="132" spans="1:32">
      <c r="A132" s="1" t="s">
        <v>294</v>
      </c>
      <c r="B132">
        <v>3749.8209923742884</v>
      </c>
      <c r="C132">
        <v>216.54376808240875</v>
      </c>
      <c r="D132">
        <v>2825.5502666666666</v>
      </c>
      <c r="E132">
        <v>10581.700333333332</v>
      </c>
      <c r="F132">
        <v>7756.1500666666661</v>
      </c>
      <c r="G132">
        <v>0.67039106145251393</v>
      </c>
      <c r="H132">
        <v>8.726264726066317E-2</v>
      </c>
      <c r="I132">
        <v>29.045158998788093</v>
      </c>
      <c r="J132">
        <v>13.850054682045943</v>
      </c>
      <c r="K132">
        <v>1</v>
      </c>
      <c r="L132">
        <f t="shared" si="8"/>
        <v>3.8896462032553991</v>
      </c>
      <c r="M132" t="s">
        <v>31</v>
      </c>
      <c r="N132">
        <v>368</v>
      </c>
      <c r="O132">
        <v>12</v>
      </c>
      <c r="P132">
        <v>1107</v>
      </c>
      <c r="Q132">
        <v>272.193556838267</v>
      </c>
      <c r="R132">
        <v>343.545955039528</v>
      </c>
      <c r="S132" t="s">
        <v>295</v>
      </c>
      <c r="T132">
        <v>0</v>
      </c>
      <c r="U132">
        <v>0</v>
      </c>
      <c r="V132">
        <v>0</v>
      </c>
      <c r="W132">
        <v>11562.825999999999</v>
      </c>
      <c r="X132">
        <v>2.97112449015083E-2</v>
      </c>
      <c r="Y132">
        <v>9.7034034729003906</v>
      </c>
      <c r="Z132">
        <v>10.499153137207029</v>
      </c>
      <c r="AA132">
        <f t="shared" si="9"/>
        <v>0.15651903460459426</v>
      </c>
      <c r="AB132">
        <f t="shared" si="10"/>
        <v>-0.78480459399948244</v>
      </c>
      <c r="AC132" s="13">
        <f t="shared" si="11"/>
        <v>-0.18982470169962279</v>
      </c>
      <c r="AD132" s="13"/>
      <c r="AE132" s="13"/>
      <c r="AF132" s="13"/>
    </row>
    <row r="133" spans="1:32">
      <c r="A133" s="1" t="s">
        <v>296</v>
      </c>
      <c r="B133">
        <v>175.43921084560751</v>
      </c>
      <c r="C133">
        <v>65.340501753369296</v>
      </c>
      <c r="D133">
        <v>51.635676666666676</v>
      </c>
      <c r="E133">
        <v>7850.1430666666665</v>
      </c>
      <c r="F133">
        <v>7798.5073899999988</v>
      </c>
      <c r="G133">
        <v>0.44830917874396137</v>
      </c>
      <c r="H133">
        <v>0.68588858502204175</v>
      </c>
      <c r="I133">
        <v>14.408442293086418</v>
      </c>
      <c r="J133">
        <v>3.8503113223664194</v>
      </c>
      <c r="K133">
        <v>1</v>
      </c>
      <c r="L133">
        <f t="shared" si="8"/>
        <v>3.8920114880343912</v>
      </c>
      <c r="M133" t="s">
        <v>31</v>
      </c>
      <c r="N133">
        <v>355</v>
      </c>
      <c r="O133">
        <v>20</v>
      </c>
      <c r="P133">
        <v>1068</v>
      </c>
      <c r="Q133">
        <v>470.22201532453499</v>
      </c>
      <c r="R133">
        <v>593.48528749806098</v>
      </c>
      <c r="S133" t="s">
        <v>297</v>
      </c>
      <c r="T133">
        <v>3</v>
      </c>
      <c r="U133">
        <v>367.331945634872</v>
      </c>
      <c r="V133">
        <v>0.73144973674543801</v>
      </c>
      <c r="W133">
        <v>8019.9146000000001</v>
      </c>
      <c r="X133">
        <v>7.4001447284496202E-2</v>
      </c>
      <c r="Y133">
        <v>12.38016414642334</v>
      </c>
      <c r="Z133">
        <v>13.017745971679689</v>
      </c>
      <c r="AA133">
        <f t="shared" si="9"/>
        <v>0.15931383725985818</v>
      </c>
      <c r="AB133">
        <f t="shared" si="10"/>
        <v>-0.72316741816509333</v>
      </c>
      <c r="AC133" s="13">
        <f t="shared" si="11"/>
        <v>2.3095308002719036E-3</v>
      </c>
      <c r="AD133" s="13"/>
      <c r="AE133" s="13"/>
      <c r="AF133" s="13"/>
    </row>
    <row r="134" spans="1:32">
      <c r="A134" s="1" t="s">
        <v>298</v>
      </c>
      <c r="B134">
        <v>6189.57164662379</v>
      </c>
      <c r="C134">
        <v>101.28974587438123</v>
      </c>
      <c r="D134">
        <v>8544.9696666666659</v>
      </c>
      <c r="E134">
        <v>16402.046333333332</v>
      </c>
      <c r="F134">
        <v>7857.076666666665</v>
      </c>
      <c r="G134">
        <v>0.52498288843258045</v>
      </c>
      <c r="H134">
        <v>0.38955697119454008</v>
      </c>
      <c r="I134">
        <v>21.640515491478727</v>
      </c>
      <c r="J134">
        <v>1.4996291836670967</v>
      </c>
      <c r="K134">
        <v>1</v>
      </c>
      <c r="L134">
        <f t="shared" si="8"/>
        <v>3.8952609908625773</v>
      </c>
      <c r="M134" t="s">
        <v>31</v>
      </c>
      <c r="N134">
        <v>497</v>
      </c>
      <c r="O134">
        <v>17</v>
      </c>
      <c r="P134">
        <v>1494</v>
      </c>
      <c r="Q134">
        <v>285.72124866908501</v>
      </c>
      <c r="R134">
        <v>360.61977509420302</v>
      </c>
      <c r="S134" t="s">
        <v>299</v>
      </c>
      <c r="T134">
        <v>0</v>
      </c>
      <c r="U134">
        <v>0</v>
      </c>
      <c r="V134">
        <v>0</v>
      </c>
      <c r="W134">
        <v>20788.261999999999</v>
      </c>
      <c r="X134">
        <v>1.7347278723647198E-2</v>
      </c>
      <c r="Y134">
        <v>8.8222875595092773</v>
      </c>
      <c r="Z134">
        <v>7.5310745239257813</v>
      </c>
      <c r="AA134">
        <f t="shared" si="9"/>
        <v>0.16317833003379298</v>
      </c>
      <c r="AB134">
        <f t="shared" si="10"/>
        <v>-0.75367903257170921</v>
      </c>
      <c r="AC134" s="13">
        <f t="shared" si="11"/>
        <v>-0.17669965539427293</v>
      </c>
      <c r="AD134" s="13"/>
      <c r="AE134" s="13"/>
      <c r="AF134" s="13"/>
    </row>
    <row r="135" spans="1:32">
      <c r="A135" s="1" t="s">
        <v>300</v>
      </c>
      <c r="B135">
        <v>165.35586060884427</v>
      </c>
      <c r="C135">
        <v>18.639706360492657</v>
      </c>
      <c r="D135">
        <v>8980.951500000001</v>
      </c>
      <c r="E135">
        <v>16950.055666666667</v>
      </c>
      <c r="F135">
        <v>7969.1041666666652</v>
      </c>
      <c r="G135">
        <v>0.38925583443417</v>
      </c>
      <c r="H135">
        <v>9.3128916029707146E-2</v>
      </c>
      <c r="I135">
        <v>0.91929459022777993</v>
      </c>
      <c r="J135">
        <v>0.22974554800935942</v>
      </c>
      <c r="K135">
        <v>1</v>
      </c>
      <c r="L135">
        <f t="shared" si="8"/>
        <v>3.9014095036621024</v>
      </c>
      <c r="M135" t="s">
        <v>31</v>
      </c>
      <c r="N135">
        <v>767</v>
      </c>
      <c r="O135">
        <v>4</v>
      </c>
      <c r="P135">
        <v>2304</v>
      </c>
      <c r="Q135">
        <v>43.593499337378802</v>
      </c>
      <c r="R135">
        <v>55.021031861799401</v>
      </c>
      <c r="S135" t="s">
        <v>301</v>
      </c>
      <c r="T135">
        <v>0</v>
      </c>
      <c r="U135">
        <v>0</v>
      </c>
      <c r="V135">
        <v>0</v>
      </c>
      <c r="W135">
        <v>23638.1</v>
      </c>
      <c r="X135">
        <v>2.3276418943061999E-3</v>
      </c>
      <c r="Y135">
        <v>6.6843433380126953</v>
      </c>
      <c r="Z135">
        <v>8.5491085052490234</v>
      </c>
      <c r="AA135">
        <f t="shared" si="9"/>
        <v>0.17057008026311382</v>
      </c>
      <c r="AB135">
        <f t="shared" si="10"/>
        <v>-0.78420057700522794</v>
      </c>
      <c r="AC135" s="13">
        <f t="shared" si="11"/>
        <v>-0.41162058363045467</v>
      </c>
      <c r="AD135" s="13"/>
      <c r="AE135" s="13"/>
      <c r="AF135" s="13"/>
    </row>
    <row r="136" spans="1:32">
      <c r="A136" s="1" t="s">
        <v>302</v>
      </c>
      <c r="B136">
        <v>6451.7193823143862</v>
      </c>
      <c r="C136">
        <v>52.625359237737243</v>
      </c>
      <c r="D136">
        <v>1118.7989333333333</v>
      </c>
      <c r="E136">
        <v>9293.2016666666677</v>
      </c>
      <c r="F136">
        <v>8174.4027333333333</v>
      </c>
      <c r="G136">
        <v>0.69184027777777779</v>
      </c>
      <c r="H136">
        <v>4.3961850773659571E-2</v>
      </c>
      <c r="I136">
        <v>23.970899259212661</v>
      </c>
      <c r="J136">
        <v>7.9838723706482764</v>
      </c>
      <c r="K136">
        <v>1</v>
      </c>
      <c r="L136">
        <f t="shared" si="8"/>
        <v>3.9124560305563554</v>
      </c>
      <c r="M136" t="s">
        <v>31</v>
      </c>
      <c r="N136">
        <v>394</v>
      </c>
      <c r="O136">
        <v>0</v>
      </c>
      <c r="P136">
        <v>1185</v>
      </c>
      <c r="Q136">
        <v>0</v>
      </c>
      <c r="R136">
        <v>0</v>
      </c>
      <c r="S136" t="s">
        <v>303</v>
      </c>
      <c r="T136">
        <v>0</v>
      </c>
      <c r="U136">
        <v>0</v>
      </c>
      <c r="W136">
        <v>10075.796</v>
      </c>
      <c r="X136">
        <v>0</v>
      </c>
      <c r="Y136">
        <v>11.528669357299799</v>
      </c>
      <c r="Z136">
        <v>7.0021448135375977</v>
      </c>
      <c r="AA136">
        <f t="shared" si="9"/>
        <v>0.18411600182020987</v>
      </c>
      <c r="AB136">
        <f t="shared" si="10"/>
        <v>-0.78926303563804434</v>
      </c>
      <c r="AC136" s="13">
        <f t="shared" si="11"/>
        <v>-0.45391654251028785</v>
      </c>
      <c r="AD136" s="13"/>
      <c r="AE136" s="13"/>
      <c r="AF136" s="13"/>
    </row>
    <row r="137" spans="1:32">
      <c r="A137" s="1" t="s">
        <v>304</v>
      </c>
      <c r="B137">
        <v>6357.6414856202646</v>
      </c>
      <c r="C137">
        <v>30.837347006667194</v>
      </c>
      <c r="D137">
        <v>6.2405272333333324</v>
      </c>
      <c r="E137">
        <v>8204.9574999999986</v>
      </c>
      <c r="F137">
        <v>8198.7169727666678</v>
      </c>
      <c r="G137">
        <v>0.5714285714285714</v>
      </c>
      <c r="H137">
        <v>3.9016161897119976E-2</v>
      </c>
      <c r="I137">
        <v>22.769786441206559</v>
      </c>
      <c r="J137">
        <v>12.391479195162088</v>
      </c>
      <c r="K137">
        <v>1</v>
      </c>
      <c r="L137">
        <f t="shared" si="8"/>
        <v>3.9137458944270511</v>
      </c>
      <c r="M137" t="s">
        <v>31</v>
      </c>
      <c r="N137">
        <v>332</v>
      </c>
      <c r="O137">
        <v>9</v>
      </c>
      <c r="P137">
        <v>999</v>
      </c>
      <c r="Q137">
        <v>226.21491548045199</v>
      </c>
      <c r="R137">
        <v>285.51454371528303</v>
      </c>
      <c r="S137" t="s">
        <v>305</v>
      </c>
      <c r="T137">
        <v>0</v>
      </c>
      <c r="U137">
        <v>0</v>
      </c>
      <c r="V137">
        <v>0</v>
      </c>
      <c r="W137">
        <v>9559.9320000000007</v>
      </c>
      <c r="X137">
        <v>2.9865750479740199E-2</v>
      </c>
      <c r="Y137">
        <v>10.60913753509521</v>
      </c>
      <c r="Z137">
        <v>10.712087631225589</v>
      </c>
      <c r="AA137">
        <f t="shared" si="9"/>
        <v>0.18572029348883687</v>
      </c>
      <c r="AB137">
        <f t="shared" si="10"/>
        <v>-0.78977226565244263</v>
      </c>
      <c r="AC137" s="13">
        <f t="shared" si="11"/>
        <v>-0.2344348099446672</v>
      </c>
      <c r="AD137" s="13"/>
      <c r="AE137" s="13"/>
      <c r="AF137" s="13"/>
    </row>
    <row r="138" spans="1:32">
      <c r="A138" s="1" t="s">
        <v>306</v>
      </c>
      <c r="B138">
        <v>474.15433133741362</v>
      </c>
      <c r="C138">
        <v>40.728963096296809</v>
      </c>
      <c r="D138">
        <v>6505.9157000000005</v>
      </c>
      <c r="E138">
        <v>14736.603000000001</v>
      </c>
      <c r="F138">
        <v>8230.6872999999996</v>
      </c>
      <c r="G138">
        <v>0.58626465661641536</v>
      </c>
      <c r="H138">
        <v>4.9621956724879838E-2</v>
      </c>
      <c r="I138">
        <v>17.078805326323021</v>
      </c>
      <c r="J138">
        <v>2.2818531196160792</v>
      </c>
      <c r="K138">
        <v>1</v>
      </c>
      <c r="L138">
        <f t="shared" si="8"/>
        <v>3.9154361023002893</v>
      </c>
      <c r="M138" t="s">
        <v>31</v>
      </c>
      <c r="N138">
        <v>408</v>
      </c>
      <c r="O138">
        <v>26</v>
      </c>
      <c r="P138">
        <v>1227</v>
      </c>
      <c r="Q138">
        <v>532.075180176515</v>
      </c>
      <c r="R138">
        <v>671.55254536455402</v>
      </c>
      <c r="S138" t="s">
        <v>307</v>
      </c>
      <c r="T138">
        <v>0</v>
      </c>
      <c r="U138">
        <v>0</v>
      </c>
      <c r="V138">
        <v>0</v>
      </c>
      <c r="W138">
        <v>15283.903</v>
      </c>
      <c r="X138">
        <v>4.3938550602195897E-2</v>
      </c>
      <c r="Y138">
        <v>11.202540397644039</v>
      </c>
      <c r="Z138">
        <v>8.2597551345825195</v>
      </c>
      <c r="AA138">
        <f t="shared" si="9"/>
        <v>0.18782974584346801</v>
      </c>
      <c r="AB138">
        <f t="shared" si="10"/>
        <v>-0.78868024607990839</v>
      </c>
      <c r="AC138" s="13">
        <f t="shared" si="11"/>
        <v>6.2321664648946631E-2</v>
      </c>
      <c r="AD138" s="13"/>
      <c r="AE138" s="13"/>
      <c r="AF138" s="13"/>
    </row>
    <row r="139" spans="1:32">
      <c r="A139" s="1" t="s">
        <v>308</v>
      </c>
      <c r="B139">
        <v>793.57811573661184</v>
      </c>
      <c r="C139">
        <v>140.11024585188338</v>
      </c>
      <c r="D139">
        <v>26551.08766666667</v>
      </c>
      <c r="E139">
        <v>34858.238333333335</v>
      </c>
      <c r="F139">
        <v>8307.1506666666646</v>
      </c>
      <c r="G139">
        <v>0.47586726998491702</v>
      </c>
      <c r="H139">
        <v>5.4948131065260947E-2</v>
      </c>
      <c r="I139">
        <v>12.509398833146207</v>
      </c>
      <c r="J139">
        <v>2.7398568491188189</v>
      </c>
      <c r="K139">
        <v>1</v>
      </c>
      <c r="L139">
        <f t="shared" si="8"/>
        <v>3.919452087329153</v>
      </c>
      <c r="M139" t="s">
        <v>31</v>
      </c>
      <c r="N139">
        <v>452</v>
      </c>
      <c r="O139">
        <v>23</v>
      </c>
      <c r="P139">
        <v>1359</v>
      </c>
      <c r="Q139">
        <v>424.96444387166599</v>
      </c>
      <c r="R139">
        <v>536.36396622893199</v>
      </c>
      <c r="S139" t="s">
        <v>309</v>
      </c>
      <c r="T139">
        <v>1</v>
      </c>
      <c r="U139">
        <v>122.44398187829</v>
      </c>
      <c r="V139">
        <v>0.21201441644795299</v>
      </c>
      <c r="W139">
        <v>39265.855000000003</v>
      </c>
      <c r="X139">
        <v>1.3659806114725601E-2</v>
      </c>
      <c r="Y139">
        <v>9.6490354537963867</v>
      </c>
      <c r="Z139">
        <v>10.17749500274658</v>
      </c>
      <c r="AA139">
        <f t="shared" si="9"/>
        <v>0.19287491875273549</v>
      </c>
      <c r="AB139">
        <f t="shared" si="10"/>
        <v>-0.78813183959827426</v>
      </c>
      <c r="AC139" s="13">
        <f t="shared" si="11"/>
        <v>-4.1600969853901035E-2</v>
      </c>
      <c r="AD139" s="13"/>
      <c r="AE139" s="13"/>
      <c r="AF139" s="13"/>
    </row>
    <row r="140" spans="1:32">
      <c r="A140" s="1" t="s">
        <v>310</v>
      </c>
      <c r="B140">
        <v>5993.8210434252833</v>
      </c>
      <c r="C140">
        <v>227.76131247883481</v>
      </c>
      <c r="D140">
        <v>274.51388866666667</v>
      </c>
      <c r="E140">
        <v>8616.1329999999998</v>
      </c>
      <c r="F140">
        <v>8341.6191113333334</v>
      </c>
      <c r="G140">
        <v>0.50278440731901353</v>
      </c>
      <c r="H140">
        <v>7.4220320998458642E-2</v>
      </c>
      <c r="I140">
        <v>1.9781594584782463</v>
      </c>
      <c r="J140">
        <v>1.8476878460545623</v>
      </c>
      <c r="K140">
        <v>1</v>
      </c>
      <c r="L140">
        <f t="shared" si="8"/>
        <v>3.9212503555382607</v>
      </c>
      <c r="M140" t="s">
        <v>31</v>
      </c>
      <c r="N140">
        <v>429</v>
      </c>
      <c r="O140">
        <v>31</v>
      </c>
      <c r="P140">
        <v>1290</v>
      </c>
      <c r="Q140">
        <v>603.41513501413601</v>
      </c>
      <c r="R140">
        <v>761.59344567774497</v>
      </c>
      <c r="S140" t="s">
        <v>311</v>
      </c>
      <c r="T140">
        <v>8</v>
      </c>
      <c r="U140">
        <v>979.55185502632503</v>
      </c>
      <c r="V140">
        <v>1.2584081492394601</v>
      </c>
      <c r="W140">
        <v>7589.4219999999996</v>
      </c>
      <c r="X140">
        <v>0.100349334333727</v>
      </c>
      <c r="Y140">
        <v>10.75674533843994</v>
      </c>
      <c r="Z140">
        <v>6.9790816307067871</v>
      </c>
      <c r="AA140">
        <f t="shared" si="9"/>
        <v>0.19514920081534673</v>
      </c>
      <c r="AB140">
        <f t="shared" si="10"/>
        <v>-0.78614748963163494</v>
      </c>
      <c r="AC140" s="13">
        <f t="shared" si="11"/>
        <v>0.13153821854265854</v>
      </c>
      <c r="AD140" s="13"/>
      <c r="AE140" s="13"/>
      <c r="AF140" s="13"/>
    </row>
    <row r="141" spans="1:32">
      <c r="A141" s="1" t="s">
        <v>312</v>
      </c>
      <c r="B141">
        <v>5832.302984588955</v>
      </c>
      <c r="C141">
        <v>108.03458129153236</v>
      </c>
      <c r="D141">
        <v>185.53770999999998</v>
      </c>
      <c r="E141">
        <v>8707.2618000000002</v>
      </c>
      <c r="F141">
        <v>8521.7240899999979</v>
      </c>
      <c r="G141">
        <v>0.47903563941299787</v>
      </c>
      <c r="H141">
        <v>9.1338821979068355E-2</v>
      </c>
      <c r="I141">
        <v>13.190712699095215</v>
      </c>
      <c r="J141">
        <v>1.7858315256957458</v>
      </c>
      <c r="K141">
        <v>1</v>
      </c>
      <c r="L141">
        <f t="shared" si="8"/>
        <v>3.9305274688306038</v>
      </c>
      <c r="M141" t="s">
        <v>31</v>
      </c>
      <c r="N141">
        <v>328</v>
      </c>
      <c r="O141">
        <v>20</v>
      </c>
      <c r="P141">
        <v>987</v>
      </c>
      <c r="Q141">
        <v>508.811663998585</v>
      </c>
      <c r="R141">
        <v>642.19076701917902</v>
      </c>
      <c r="S141" t="s">
        <v>313</v>
      </c>
      <c r="T141">
        <v>1</v>
      </c>
      <c r="U141">
        <v>122.44398187829</v>
      </c>
      <c r="V141">
        <v>0.24381657891514599</v>
      </c>
      <c r="W141">
        <v>8926.9609999999993</v>
      </c>
      <c r="X141">
        <v>7.1938341280888204E-2</v>
      </c>
      <c r="Y141">
        <v>12.003035545349119</v>
      </c>
      <c r="Z141">
        <v>9.4942121505737305</v>
      </c>
      <c r="AA141">
        <f t="shared" si="9"/>
        <v>0.20703280990562489</v>
      </c>
      <c r="AB141">
        <f t="shared" si="10"/>
        <v>-0.7843848930109325</v>
      </c>
      <c r="AC141" s="13">
        <f t="shared" si="11"/>
        <v>3.9750576330317866E-2</v>
      </c>
      <c r="AD141" s="13"/>
      <c r="AE141" s="13"/>
      <c r="AF141" s="13"/>
    </row>
    <row r="142" spans="1:32">
      <c r="A142" s="1" t="s">
        <v>314</v>
      </c>
      <c r="B142">
        <v>6198.1261450805187</v>
      </c>
      <c r="C142">
        <v>235.96416304797856</v>
      </c>
      <c r="D142">
        <v>12122.914166666667</v>
      </c>
      <c r="E142">
        <v>20761.511000000002</v>
      </c>
      <c r="F142">
        <v>8638.5968333333331</v>
      </c>
      <c r="G142">
        <v>0.6365384615384615</v>
      </c>
      <c r="H142">
        <v>7.7533429246252214E-2</v>
      </c>
      <c r="I142">
        <v>27.452930500264063</v>
      </c>
      <c r="J142">
        <v>8.0231378388066847</v>
      </c>
      <c r="K142">
        <v>1</v>
      </c>
      <c r="L142">
        <f t="shared" si="8"/>
        <v>3.9364432057856953</v>
      </c>
      <c r="M142" t="s">
        <v>31</v>
      </c>
      <c r="N142">
        <v>530</v>
      </c>
      <c r="O142">
        <v>56</v>
      </c>
      <c r="P142">
        <v>1593</v>
      </c>
      <c r="Q142">
        <v>882.70678884274298</v>
      </c>
      <c r="R142">
        <v>1114.0981818795999</v>
      </c>
      <c r="S142" t="s">
        <v>315</v>
      </c>
      <c r="T142">
        <v>0</v>
      </c>
      <c r="U142">
        <v>0</v>
      </c>
      <c r="V142">
        <v>0</v>
      </c>
      <c r="W142">
        <v>27769.035</v>
      </c>
      <c r="X142">
        <v>4.0120161967443203E-2</v>
      </c>
      <c r="Y142">
        <v>8.61749267578125</v>
      </c>
      <c r="Z142">
        <v>6.6031107902526864</v>
      </c>
      <c r="AA142">
        <f t="shared" si="9"/>
        <v>0.21474425689261945</v>
      </c>
      <c r="AB142">
        <f t="shared" si="10"/>
        <v>-0.78580635734393067</v>
      </c>
      <c r="AC142" s="13">
        <f t="shared" si="11"/>
        <v>0.40251688475141839</v>
      </c>
      <c r="AD142" s="13"/>
      <c r="AE142" s="13"/>
      <c r="AF142" s="13"/>
    </row>
    <row r="143" spans="1:32">
      <c r="A143" s="1" t="s">
        <v>316</v>
      </c>
      <c r="B143">
        <v>2438.5673209312095</v>
      </c>
      <c r="C143">
        <v>380.93275989412206</v>
      </c>
      <c r="D143">
        <v>496.8554666666667</v>
      </c>
      <c r="E143">
        <v>9378.8802000000014</v>
      </c>
      <c r="F143">
        <v>8882.0247333333336</v>
      </c>
      <c r="G143">
        <v>0.55820105820105814</v>
      </c>
      <c r="H143">
        <v>5.931428375928758E-2</v>
      </c>
      <c r="I143">
        <v>7.3968543799379768E-2</v>
      </c>
      <c r="J143">
        <v>4.0690953055886048E-2</v>
      </c>
      <c r="K143">
        <v>1</v>
      </c>
      <c r="L143">
        <f t="shared" si="8"/>
        <v>3.9485119781976246</v>
      </c>
      <c r="M143" t="s">
        <v>31</v>
      </c>
      <c r="N143">
        <v>388</v>
      </c>
      <c r="O143">
        <v>16</v>
      </c>
      <c r="P143">
        <v>1167</v>
      </c>
      <c r="Q143">
        <v>344.265372659197</v>
      </c>
      <c r="R143">
        <v>434.51056524279602</v>
      </c>
      <c r="S143" t="s">
        <v>317</v>
      </c>
      <c r="T143">
        <v>0</v>
      </c>
      <c r="U143">
        <v>0</v>
      </c>
      <c r="V143">
        <v>0</v>
      </c>
      <c r="W143">
        <v>9248.2240000000002</v>
      </c>
      <c r="X143">
        <v>4.6983135923480697E-2</v>
      </c>
      <c r="Y143">
        <v>11.077723503112789</v>
      </c>
      <c r="Z143">
        <v>9.6893548965454102</v>
      </c>
      <c r="AA143">
        <f t="shared" si="9"/>
        <v>0.23080601169075463</v>
      </c>
      <c r="AB143">
        <f t="shared" si="10"/>
        <v>-0.78768228119402617</v>
      </c>
      <c r="AC143" s="13">
        <f t="shared" si="11"/>
        <v>-0.11989807032816065</v>
      </c>
      <c r="AD143" s="13"/>
      <c r="AE143" s="13"/>
      <c r="AF143" s="13"/>
    </row>
    <row r="144" spans="1:32">
      <c r="A144" s="1" t="s">
        <v>318</v>
      </c>
      <c r="B144">
        <v>3946.7488746127706</v>
      </c>
      <c r="C144">
        <v>327.78925896734768</v>
      </c>
      <c r="D144">
        <v>1218.5207333333335</v>
      </c>
      <c r="E144">
        <v>10110.897333333332</v>
      </c>
      <c r="F144">
        <v>8892.3765999999996</v>
      </c>
      <c r="G144">
        <v>0.6717479674796748</v>
      </c>
      <c r="H144">
        <v>7.274399454798966E-2</v>
      </c>
      <c r="I144">
        <v>4.281549134629639</v>
      </c>
      <c r="J144">
        <v>0.63004342982985606</v>
      </c>
      <c r="K144">
        <v>1</v>
      </c>
      <c r="L144">
        <f t="shared" si="8"/>
        <v>3.9490178471711816</v>
      </c>
      <c r="M144" t="s">
        <v>31</v>
      </c>
      <c r="N144">
        <v>338</v>
      </c>
      <c r="O144">
        <v>2</v>
      </c>
      <c r="P144">
        <v>1017</v>
      </c>
      <c r="Q144">
        <v>49.380247037030799</v>
      </c>
      <c r="R144">
        <v>62.324708657613499</v>
      </c>
      <c r="S144" t="s">
        <v>319</v>
      </c>
      <c r="T144">
        <v>1</v>
      </c>
      <c r="U144">
        <v>122.44398187829</v>
      </c>
      <c r="V144">
        <v>2.4381657891514599</v>
      </c>
      <c r="W144">
        <v>11845.2</v>
      </c>
      <c r="X144">
        <v>5.2616003661916698E-3</v>
      </c>
      <c r="Y144">
        <v>8.4330987930297852</v>
      </c>
      <c r="Z144">
        <v>11.76209831237793</v>
      </c>
      <c r="AA144">
        <f t="shared" si="9"/>
        <v>0.23148904409625529</v>
      </c>
      <c r="AB144">
        <f t="shared" si="10"/>
        <v>-0.7862994987366142</v>
      </c>
      <c r="AC144" s="13">
        <f t="shared" si="11"/>
        <v>-0.40600607581454767</v>
      </c>
      <c r="AD144" s="13"/>
      <c r="AE144" s="13"/>
      <c r="AF144" s="13"/>
    </row>
    <row r="145" spans="1:32">
      <c r="A145" s="1" t="s">
        <v>320</v>
      </c>
      <c r="B145">
        <v>1872.4193874659204</v>
      </c>
      <c r="C145">
        <v>246.45985778591549</v>
      </c>
      <c r="D145">
        <v>1291.8029199999999</v>
      </c>
      <c r="E145">
        <v>10186.428333333333</v>
      </c>
      <c r="F145">
        <v>8894.6254133333332</v>
      </c>
      <c r="G145">
        <v>0.51388888888888884</v>
      </c>
      <c r="H145">
        <v>8.0096576417699392E-2</v>
      </c>
      <c r="I145">
        <v>26.268994558493301</v>
      </c>
      <c r="J145">
        <v>13.172475600816417</v>
      </c>
      <c r="K145">
        <v>1</v>
      </c>
      <c r="L145">
        <f t="shared" si="8"/>
        <v>3.9491276630047851</v>
      </c>
      <c r="M145" t="s">
        <v>31</v>
      </c>
      <c r="N145">
        <v>394</v>
      </c>
      <c r="O145">
        <v>4</v>
      </c>
      <c r="P145">
        <v>1185</v>
      </c>
      <c r="Q145">
        <v>84.759006306599801</v>
      </c>
      <c r="R145">
        <v>106.97760118952399</v>
      </c>
      <c r="S145" t="s">
        <v>321</v>
      </c>
      <c r="T145">
        <v>0</v>
      </c>
      <c r="U145">
        <v>0</v>
      </c>
      <c r="V145">
        <v>0</v>
      </c>
      <c r="W145">
        <v>13647.731</v>
      </c>
      <c r="X145">
        <v>7.8384898698196804E-3</v>
      </c>
      <c r="Y145">
        <v>8.1087236404418945</v>
      </c>
      <c r="Z145">
        <v>11.5532169342041</v>
      </c>
      <c r="AA145">
        <f t="shared" si="9"/>
        <v>0.23163742432854084</v>
      </c>
      <c r="AB145">
        <f t="shared" si="10"/>
        <v>-0.78554244436767928</v>
      </c>
      <c r="AC145" s="13">
        <f t="shared" si="11"/>
        <v>-0.37168034904266284</v>
      </c>
      <c r="AD145" s="13"/>
      <c r="AE145" s="13"/>
      <c r="AF145" s="13"/>
    </row>
    <row r="146" spans="1:32">
      <c r="A146" s="1" t="s">
        <v>322</v>
      </c>
      <c r="B146">
        <v>5868.5164755582036</v>
      </c>
      <c r="C146">
        <v>200.14769942338708</v>
      </c>
      <c r="D146">
        <v>79656.781666666662</v>
      </c>
      <c r="E146">
        <v>88717.960333333336</v>
      </c>
      <c r="F146">
        <v>9061.1786666666685</v>
      </c>
      <c r="G146">
        <v>0.58646063281824867</v>
      </c>
      <c r="H146">
        <v>0.35135308625262113</v>
      </c>
      <c r="I146">
        <v>24.4817043359851</v>
      </c>
      <c r="J146">
        <v>6.6451002671519808</v>
      </c>
      <c r="K146">
        <v>1</v>
      </c>
      <c r="L146">
        <f t="shared" si="8"/>
        <v>3.9571846938285784</v>
      </c>
      <c r="M146" t="s">
        <v>31</v>
      </c>
      <c r="N146">
        <v>463</v>
      </c>
      <c r="O146">
        <v>11</v>
      </c>
      <c r="P146">
        <v>1392</v>
      </c>
      <c r="Q146">
        <v>198.42558319082701</v>
      </c>
      <c r="R146">
        <v>250.440558819225</v>
      </c>
      <c r="S146" t="s">
        <v>323</v>
      </c>
      <c r="T146">
        <v>0</v>
      </c>
      <c r="U146">
        <v>0</v>
      </c>
      <c r="V146">
        <v>0</v>
      </c>
      <c r="W146">
        <v>96981.17</v>
      </c>
      <c r="X146">
        <v>2.5823627289630001E-3</v>
      </c>
      <c r="Y146">
        <v>10.177165031433111</v>
      </c>
      <c r="Z146">
        <v>6.8621068000793457</v>
      </c>
      <c r="AA146">
        <f t="shared" si="9"/>
        <v>0.24262686931768018</v>
      </c>
      <c r="AB146">
        <f t="shared" si="10"/>
        <v>-0.75761267364066742</v>
      </c>
      <c r="AC146" s="13">
        <f t="shared" si="11"/>
        <v>-0.26139700554001333</v>
      </c>
      <c r="AD146" s="13"/>
      <c r="AE146" s="13"/>
      <c r="AF146" s="13"/>
    </row>
    <row r="147" spans="1:32">
      <c r="A147" s="1" t="s">
        <v>324</v>
      </c>
      <c r="B147">
        <v>5612.8557457436082</v>
      </c>
      <c r="C147">
        <v>68.731158990778297</v>
      </c>
      <c r="D147">
        <v>353.84399999999999</v>
      </c>
      <c r="E147">
        <v>9419.6859999999997</v>
      </c>
      <c r="F147">
        <v>9065.8420000000006</v>
      </c>
      <c r="G147">
        <v>0.63620539599651871</v>
      </c>
      <c r="H147">
        <v>4.8519860123814963E-2</v>
      </c>
      <c r="I147">
        <v>1.6710477921530007</v>
      </c>
      <c r="J147">
        <v>0.15925326389201186</v>
      </c>
      <c r="K147">
        <v>1</v>
      </c>
      <c r="L147">
        <f t="shared" si="8"/>
        <v>3.9574081458801715</v>
      </c>
      <c r="M147" t="s">
        <v>31</v>
      </c>
      <c r="N147">
        <v>393</v>
      </c>
      <c r="O147">
        <v>8</v>
      </c>
      <c r="P147">
        <v>1182</v>
      </c>
      <c r="Q147">
        <v>169.94826137617699</v>
      </c>
      <c r="R147">
        <v>214.49823588762399</v>
      </c>
      <c r="S147" t="s">
        <v>325</v>
      </c>
      <c r="T147">
        <v>1</v>
      </c>
      <c r="U147">
        <v>122.44398187829</v>
      </c>
      <c r="V147">
        <v>0.60954144728786497</v>
      </c>
      <c r="W147">
        <v>9555.7029999999995</v>
      </c>
      <c r="X147">
        <v>2.2447143437549701E-2</v>
      </c>
      <c r="Y147">
        <v>10.496241569519039</v>
      </c>
      <c r="Z147">
        <v>8.0944395065307617</v>
      </c>
      <c r="AA147">
        <f t="shared" si="9"/>
        <v>0.24293456336812366</v>
      </c>
      <c r="AB147">
        <f t="shared" si="10"/>
        <v>-0.78879372282339932</v>
      </c>
      <c r="AC147" s="13">
        <f t="shared" si="11"/>
        <v>-0.28902671296860344</v>
      </c>
      <c r="AD147" s="13"/>
      <c r="AE147" s="13"/>
      <c r="AF147" s="13"/>
    </row>
    <row r="148" spans="1:32">
      <c r="A148" s="1" t="s">
        <v>326</v>
      </c>
      <c r="B148">
        <v>2261.1008329879837</v>
      </c>
      <c r="C148">
        <v>376.04286250496131</v>
      </c>
      <c r="D148">
        <v>2223.8881666666666</v>
      </c>
      <c r="E148">
        <v>11392.531000000001</v>
      </c>
      <c r="F148">
        <v>9168.6428333333333</v>
      </c>
      <c r="G148">
        <v>0.54877014418999148</v>
      </c>
      <c r="H148">
        <v>6.8301130820337189E-2</v>
      </c>
      <c r="I148">
        <v>22.506545974679838</v>
      </c>
      <c r="J148">
        <v>4.6975415805894487</v>
      </c>
      <c r="K148">
        <v>1</v>
      </c>
      <c r="L148">
        <f t="shared" si="8"/>
        <v>3.9623050550140544</v>
      </c>
      <c r="M148" t="s">
        <v>31</v>
      </c>
      <c r="N148">
        <v>403</v>
      </c>
      <c r="O148">
        <v>6</v>
      </c>
      <c r="P148">
        <v>1212</v>
      </c>
      <c r="Q148">
        <v>124.30621593232701</v>
      </c>
      <c r="R148">
        <v>156.891655209883</v>
      </c>
      <c r="S148" t="s">
        <v>327</v>
      </c>
      <c r="T148">
        <v>0</v>
      </c>
      <c r="U148">
        <v>0</v>
      </c>
      <c r="V148">
        <v>0</v>
      </c>
      <c r="W148">
        <v>12292.834000000001</v>
      </c>
      <c r="X148">
        <v>1.2762854782703699E-2</v>
      </c>
      <c r="Y148">
        <v>11.559762001037599</v>
      </c>
      <c r="Z148">
        <v>7.6762757301330566</v>
      </c>
      <c r="AA148">
        <f t="shared" si="9"/>
        <v>0.24971752365346461</v>
      </c>
      <c r="AB148">
        <f t="shared" si="10"/>
        <v>-0.78675695564837711</v>
      </c>
      <c r="AC148" s="13">
        <f t="shared" si="11"/>
        <v>-0.33331024392224934</v>
      </c>
      <c r="AD148" s="13"/>
      <c r="AE148" s="13"/>
      <c r="AF148" s="13"/>
    </row>
    <row r="149" spans="1:32">
      <c r="A149" s="1" t="s">
        <v>328</v>
      </c>
      <c r="B149">
        <v>302.1765704293997</v>
      </c>
      <c r="C149">
        <v>16.863173493402101</v>
      </c>
      <c r="D149">
        <v>105.69497666666666</v>
      </c>
      <c r="E149">
        <v>9298.5994999999984</v>
      </c>
      <c r="F149">
        <v>9192.9045233333327</v>
      </c>
      <c r="G149">
        <v>0.47443181818181818</v>
      </c>
      <c r="H149">
        <v>9.9312780858920077E-2</v>
      </c>
      <c r="I149">
        <v>0.11475312163754549</v>
      </c>
      <c r="J149">
        <v>4.6240916521268244E-2</v>
      </c>
      <c r="K149">
        <v>1</v>
      </c>
      <c r="L149">
        <f t="shared" si="8"/>
        <v>3.9634527495973115</v>
      </c>
      <c r="M149" t="s">
        <v>31</v>
      </c>
      <c r="N149">
        <v>362</v>
      </c>
      <c r="O149">
        <v>32</v>
      </c>
      <c r="P149">
        <v>1089</v>
      </c>
      <c r="Q149">
        <v>737.84699704918796</v>
      </c>
      <c r="R149">
        <v>931.26506820632505</v>
      </c>
      <c r="S149" t="s">
        <v>329</v>
      </c>
      <c r="T149">
        <v>0</v>
      </c>
      <c r="U149">
        <v>0</v>
      </c>
      <c r="V149">
        <v>0</v>
      </c>
      <c r="W149">
        <v>9793.1319999999996</v>
      </c>
      <c r="X149">
        <v>9.5093690987349599E-2</v>
      </c>
      <c r="Y149">
        <v>8.5396890640258789</v>
      </c>
      <c r="Z149">
        <v>11.16551685333252</v>
      </c>
      <c r="AA149">
        <f t="shared" si="9"/>
        <v>0.25131834802802627</v>
      </c>
      <c r="AB149">
        <f t="shared" si="10"/>
        <v>-0.78356385891506353</v>
      </c>
      <c r="AC149" s="13">
        <f t="shared" si="11"/>
        <v>0.26196877803432628</v>
      </c>
      <c r="AD149" s="13"/>
      <c r="AE149" s="13"/>
      <c r="AF149" s="13"/>
    </row>
    <row r="150" spans="1:32">
      <c r="A150" s="1" t="s">
        <v>330</v>
      </c>
      <c r="B150">
        <v>5558.5816402154987</v>
      </c>
      <c r="C150">
        <v>184.56357976813376</v>
      </c>
      <c r="D150">
        <v>157.78912066666666</v>
      </c>
      <c r="E150">
        <v>9692.6579999999994</v>
      </c>
      <c r="F150">
        <v>9534.8688793333331</v>
      </c>
      <c r="G150">
        <v>0.50610328638497648</v>
      </c>
      <c r="H150">
        <v>4.8135284049529416E-2</v>
      </c>
      <c r="I150">
        <v>24.021016654888996</v>
      </c>
      <c r="J150">
        <v>9.3671854069928351</v>
      </c>
      <c r="K150">
        <v>1</v>
      </c>
      <c r="L150">
        <f t="shared" si="8"/>
        <v>3.9793147251351928</v>
      </c>
      <c r="M150" t="s">
        <v>31</v>
      </c>
      <c r="N150">
        <v>365</v>
      </c>
      <c r="O150">
        <v>23</v>
      </c>
      <c r="P150">
        <v>1098</v>
      </c>
      <c r="Q150">
        <v>525.98058216902905</v>
      </c>
      <c r="R150">
        <v>663.860318857121</v>
      </c>
      <c r="S150" t="s">
        <v>331</v>
      </c>
      <c r="T150">
        <v>1</v>
      </c>
      <c r="U150">
        <v>122.44398187829</v>
      </c>
      <c r="V150">
        <v>0.21201441644795299</v>
      </c>
      <c r="W150">
        <v>11729.541999999999</v>
      </c>
      <c r="X150">
        <v>5.6597292448172402E-2</v>
      </c>
      <c r="AA150">
        <f t="shared" si="9"/>
        <v>0.27388169280392988</v>
      </c>
      <c r="AB150">
        <f t="shared" si="10"/>
        <v>-0.78883332047798993</v>
      </c>
      <c r="AC150" s="13">
        <f t="shared" si="11"/>
        <v>5.6408469548026821E-2</v>
      </c>
      <c r="AD150" s="13"/>
      <c r="AE150" s="13"/>
      <c r="AF150" s="13"/>
    </row>
    <row r="151" spans="1:32">
      <c r="A151" s="1" t="s">
        <v>332</v>
      </c>
      <c r="B151">
        <v>134.51602683262993</v>
      </c>
      <c r="C151">
        <v>14.13434999532606</v>
      </c>
      <c r="D151">
        <v>966.93884000000014</v>
      </c>
      <c r="E151">
        <v>10576.658833333333</v>
      </c>
      <c r="F151">
        <v>9609.7199933333322</v>
      </c>
      <c r="G151">
        <v>0.54761904761904767</v>
      </c>
      <c r="H151">
        <v>6.9462278527497312E-2</v>
      </c>
      <c r="I151">
        <v>0.43029550255775778</v>
      </c>
      <c r="J151">
        <v>0.14421681004502807</v>
      </c>
      <c r="K151">
        <v>1</v>
      </c>
      <c r="L151">
        <f t="shared" si="8"/>
        <v>3.9827107334415035</v>
      </c>
      <c r="M151" t="s">
        <v>31</v>
      </c>
      <c r="N151">
        <v>332</v>
      </c>
      <c r="O151">
        <v>15</v>
      </c>
      <c r="P151">
        <v>999</v>
      </c>
      <c r="Q151">
        <v>377.02485913408702</v>
      </c>
      <c r="R151">
        <v>475.85757285880601</v>
      </c>
      <c r="S151" t="s">
        <v>333</v>
      </c>
      <c r="T151">
        <v>0</v>
      </c>
      <c r="U151">
        <v>0</v>
      </c>
      <c r="V151">
        <v>0</v>
      </c>
      <c r="W151">
        <v>12383.522000000001</v>
      </c>
      <c r="X151">
        <v>3.8426674806957599E-2</v>
      </c>
      <c r="Y151">
        <v>12.42176342010498</v>
      </c>
      <c r="Z151">
        <v>9.9237775802612305</v>
      </c>
      <c r="AA151">
        <f t="shared" si="9"/>
        <v>0.2788204867525087</v>
      </c>
      <c r="AB151">
        <f t="shared" si="10"/>
        <v>-0.78663739874166583</v>
      </c>
      <c r="AC151" s="13">
        <f t="shared" si="11"/>
        <v>-8.8113654900919727E-2</v>
      </c>
      <c r="AD151" s="13"/>
      <c r="AE151" s="13"/>
      <c r="AF151" s="13"/>
    </row>
    <row r="152" spans="1:32">
      <c r="A152" s="1" t="s">
        <v>334</v>
      </c>
      <c r="B152">
        <v>485.03345149863145</v>
      </c>
      <c r="C152">
        <v>20.720001131795581</v>
      </c>
      <c r="D152">
        <v>1063.0098500000001</v>
      </c>
      <c r="E152">
        <v>10811.453666666668</v>
      </c>
      <c r="F152">
        <v>9748.4438166666678</v>
      </c>
      <c r="G152">
        <v>0.54600694444444442</v>
      </c>
      <c r="H152">
        <v>0.24283949102290336</v>
      </c>
      <c r="I152">
        <v>20.995530576062141</v>
      </c>
      <c r="J152">
        <v>17.813688927607693</v>
      </c>
      <c r="K152">
        <v>1</v>
      </c>
      <c r="L152">
        <f t="shared" si="8"/>
        <v>3.988935293054916</v>
      </c>
      <c r="M152" t="s">
        <v>31</v>
      </c>
      <c r="N152">
        <v>394</v>
      </c>
      <c r="O152">
        <v>7</v>
      </c>
      <c r="P152">
        <v>1185</v>
      </c>
      <c r="Q152">
        <v>148.32826103654901</v>
      </c>
      <c r="R152">
        <v>187.210802081667</v>
      </c>
      <c r="S152" t="s">
        <v>335</v>
      </c>
      <c r="T152">
        <v>0</v>
      </c>
      <c r="U152">
        <v>0</v>
      </c>
      <c r="V152">
        <v>0</v>
      </c>
      <c r="W152">
        <v>11092.669</v>
      </c>
      <c r="X152">
        <v>1.68769844373493E-2</v>
      </c>
      <c r="Y152">
        <v>11.63183116912842</v>
      </c>
      <c r="Z152">
        <v>7.7042694091796884</v>
      </c>
      <c r="AA152">
        <f t="shared" si="9"/>
        <v>0.287973702283842</v>
      </c>
      <c r="AB152">
        <f t="shared" si="10"/>
        <v>-0.76878571364392567</v>
      </c>
      <c r="AC152" s="13">
        <f t="shared" si="11"/>
        <v>-0.31000320394194469</v>
      </c>
      <c r="AD152" s="13"/>
      <c r="AE152" s="13"/>
      <c r="AF152" s="13"/>
    </row>
    <row r="153" spans="1:32">
      <c r="A153" s="1" t="s">
        <v>336</v>
      </c>
      <c r="B153">
        <v>3483.2792197662188</v>
      </c>
      <c r="C153">
        <v>808.36585385700323</v>
      </c>
      <c r="D153">
        <v>99571.313333333339</v>
      </c>
      <c r="E153">
        <v>109383.38333333335</v>
      </c>
      <c r="F153">
        <v>9812.0699999999979</v>
      </c>
      <c r="G153">
        <v>0.50091575091575091</v>
      </c>
      <c r="H153">
        <v>1.3759380963220496</v>
      </c>
      <c r="I153">
        <v>22.480125736963547</v>
      </c>
      <c r="J153">
        <v>2.8817321739127828</v>
      </c>
      <c r="K153">
        <v>0.36787918103421458</v>
      </c>
      <c r="L153">
        <f t="shared" si="8"/>
        <v>3.9917606378328898</v>
      </c>
      <c r="M153" t="s">
        <v>31</v>
      </c>
      <c r="N153">
        <v>374</v>
      </c>
      <c r="O153">
        <v>36</v>
      </c>
      <c r="P153">
        <v>1125</v>
      </c>
      <c r="Q153">
        <v>803.51537978656597</v>
      </c>
      <c r="R153">
        <v>1014.14765927668</v>
      </c>
      <c r="S153" t="s">
        <v>337</v>
      </c>
      <c r="T153">
        <v>3</v>
      </c>
      <c r="U153">
        <v>367.331945634872</v>
      </c>
      <c r="V153">
        <v>0.40636096485857698</v>
      </c>
      <c r="W153">
        <v>122129.68</v>
      </c>
      <c r="X153">
        <v>8.3038591378990605E-3</v>
      </c>
      <c r="Y153">
        <v>10.50265502929688</v>
      </c>
      <c r="Z153">
        <v>8.3446741104125977</v>
      </c>
      <c r="AA153">
        <f t="shared" si="9"/>
        <v>0.29217185769429882</v>
      </c>
      <c r="AB153">
        <f t="shared" si="10"/>
        <v>-0.65211686659446122</v>
      </c>
      <c r="AC153" s="13">
        <f t="shared" si="11"/>
        <v>0.32568257156279723</v>
      </c>
      <c r="AD153" s="13"/>
      <c r="AE153" s="13"/>
      <c r="AF153" s="13"/>
    </row>
    <row r="154" spans="1:32">
      <c r="A154" s="1" t="s">
        <v>338</v>
      </c>
      <c r="B154">
        <v>6447.1903827851393</v>
      </c>
      <c r="C154">
        <v>72.100775483889919</v>
      </c>
      <c r="D154">
        <v>154.09333999999998</v>
      </c>
      <c r="E154">
        <v>10180.166333333333</v>
      </c>
      <c r="F154">
        <v>10026.072993333333</v>
      </c>
      <c r="G154">
        <v>0.58923512747875351</v>
      </c>
      <c r="H154">
        <v>4.7975232397534061E-2</v>
      </c>
      <c r="I154">
        <v>11.982178904196646</v>
      </c>
      <c r="J154">
        <v>17.409523723603595</v>
      </c>
      <c r="K154">
        <v>1</v>
      </c>
      <c r="L154">
        <f t="shared" si="8"/>
        <v>4.0011308621049313</v>
      </c>
      <c r="M154" t="s">
        <v>31</v>
      </c>
      <c r="N154">
        <v>363</v>
      </c>
      <c r="O154">
        <v>28</v>
      </c>
      <c r="P154">
        <v>1092</v>
      </c>
      <c r="Q154">
        <v>643.84245175205604</v>
      </c>
      <c r="R154">
        <v>812.61831672811502</v>
      </c>
      <c r="S154" t="s">
        <v>339</v>
      </c>
      <c r="T154">
        <v>0</v>
      </c>
      <c r="U154">
        <v>0</v>
      </c>
      <c r="V154">
        <v>0</v>
      </c>
      <c r="W154">
        <v>11229.067999999999</v>
      </c>
      <c r="X154">
        <v>7.2367387634317895E-2</v>
      </c>
      <c r="Y154">
        <v>8.9477100372314453</v>
      </c>
      <c r="Z154">
        <v>10.54578304290771</v>
      </c>
      <c r="AA154">
        <f t="shared" si="9"/>
        <v>0.3062921109807421</v>
      </c>
      <c r="AB154">
        <f t="shared" si="10"/>
        <v>-0.78884980010440486</v>
      </c>
      <c r="AC154" s="13">
        <f t="shared" si="11"/>
        <v>0.17076223479186362</v>
      </c>
      <c r="AD154" s="13"/>
      <c r="AE154" s="13"/>
      <c r="AF154" s="13"/>
    </row>
    <row r="155" spans="1:32">
      <c r="A155" s="1" t="s">
        <v>340</v>
      </c>
      <c r="B155">
        <v>5623.8794781860715</v>
      </c>
      <c r="C155">
        <v>492.82444944912476</v>
      </c>
      <c r="D155">
        <v>10002.757483333333</v>
      </c>
      <c r="E155">
        <v>20241.047000000002</v>
      </c>
      <c r="F155">
        <v>10238.289516666669</v>
      </c>
      <c r="G155">
        <v>0.48873873873873874</v>
      </c>
      <c r="H155">
        <v>7.7452915288636404E-2</v>
      </c>
      <c r="I155">
        <v>14.369236597164139</v>
      </c>
      <c r="J155">
        <v>0.80374252034065452</v>
      </c>
      <c r="K155">
        <v>1</v>
      </c>
      <c r="L155">
        <f t="shared" si="8"/>
        <v>4.0102274062957832</v>
      </c>
      <c r="M155" t="s">
        <v>31</v>
      </c>
      <c r="N155">
        <v>454</v>
      </c>
      <c r="O155">
        <v>22</v>
      </c>
      <c r="P155">
        <v>1365</v>
      </c>
      <c r="Q155">
        <v>404.70096967272099</v>
      </c>
      <c r="R155">
        <v>510.78865622910098</v>
      </c>
      <c r="S155" t="s">
        <v>341</v>
      </c>
      <c r="T155">
        <v>2</v>
      </c>
      <c r="U155">
        <v>244.887963756581</v>
      </c>
      <c r="V155">
        <v>0.44330287075481101</v>
      </c>
      <c r="W155">
        <v>29278.31</v>
      </c>
      <c r="X155">
        <v>1.7445974724261699E-2</v>
      </c>
      <c r="Y155">
        <v>10.580485343933111</v>
      </c>
      <c r="Z155">
        <v>6.6026830673217773</v>
      </c>
      <c r="AA155">
        <f t="shared" si="9"/>
        <v>0.3202944901734836</v>
      </c>
      <c r="AB155">
        <f t="shared" si="10"/>
        <v>-0.78581464741732987</v>
      </c>
      <c r="AC155" s="13">
        <f t="shared" si="11"/>
        <v>-6.126131106322117E-2</v>
      </c>
      <c r="AD155" s="13"/>
      <c r="AE155" s="13"/>
      <c r="AF155" s="13"/>
    </row>
    <row r="156" spans="1:32">
      <c r="A156" s="1" t="s">
        <v>342</v>
      </c>
      <c r="B156">
        <v>2773.3915389761023</v>
      </c>
      <c r="C156">
        <v>700.06019067580723</v>
      </c>
      <c r="D156">
        <v>10169.399333333333</v>
      </c>
      <c r="E156">
        <v>20440.933000000001</v>
      </c>
      <c r="F156">
        <v>10271.533666666668</v>
      </c>
      <c r="G156">
        <v>0.63693270735524266</v>
      </c>
      <c r="H156">
        <v>0.12090371093283751</v>
      </c>
      <c r="I156">
        <v>0.17282332309904816</v>
      </c>
      <c r="J156">
        <v>2.2152085915759907E-2</v>
      </c>
      <c r="K156">
        <v>1</v>
      </c>
      <c r="L156">
        <f t="shared" si="8"/>
        <v>4.0116352939616631</v>
      </c>
      <c r="M156" t="s">
        <v>31</v>
      </c>
      <c r="N156">
        <v>436</v>
      </c>
      <c r="O156">
        <v>77</v>
      </c>
      <c r="P156">
        <v>1311</v>
      </c>
      <c r="Q156">
        <v>1474.7970119080201</v>
      </c>
      <c r="R156">
        <v>1861.39802069758</v>
      </c>
      <c r="S156" t="s">
        <v>343</v>
      </c>
      <c r="T156">
        <v>1</v>
      </c>
      <c r="U156">
        <v>122.44398187829</v>
      </c>
      <c r="V156">
        <v>6.3328981536401596E-2</v>
      </c>
      <c r="W156">
        <v>20907.793000000001</v>
      </c>
      <c r="X156">
        <v>8.9028909971395898E-2</v>
      </c>
      <c r="Y156">
        <v>10.428116798400881</v>
      </c>
      <c r="Z156">
        <v>6.8158040046691886</v>
      </c>
      <c r="AA156">
        <f t="shared" si="9"/>
        <v>0.32248799135298029</v>
      </c>
      <c r="AB156">
        <f t="shared" si="10"/>
        <v>-0.7813407612017057</v>
      </c>
      <c r="AC156" s="13">
        <f t="shared" si="11"/>
        <v>0.97698381465092587</v>
      </c>
      <c r="AD156" s="13"/>
      <c r="AE156" s="13"/>
      <c r="AF156" s="13"/>
    </row>
    <row r="157" spans="1:32">
      <c r="A157" s="1" t="s">
        <v>344</v>
      </c>
      <c r="B157">
        <v>518.63554925074061</v>
      </c>
      <c r="C157">
        <v>35.681368554295382</v>
      </c>
      <c r="D157">
        <v>254.16878166666666</v>
      </c>
      <c r="E157">
        <v>10834.063333333334</v>
      </c>
      <c r="F157">
        <v>10579.894551666666</v>
      </c>
      <c r="G157">
        <v>0.62203626220362618</v>
      </c>
      <c r="H157">
        <v>0.10750344033545056</v>
      </c>
      <c r="I157">
        <v>6.8756950739451692E-2</v>
      </c>
      <c r="J157">
        <v>2.9234445375870156E-2</v>
      </c>
      <c r="K157">
        <v>1</v>
      </c>
      <c r="L157">
        <f t="shared" si="8"/>
        <v>4.0244813391682115</v>
      </c>
      <c r="M157" t="s">
        <v>31</v>
      </c>
      <c r="N157">
        <v>488</v>
      </c>
      <c r="O157">
        <v>29</v>
      </c>
      <c r="P157">
        <v>1467</v>
      </c>
      <c r="Q157">
        <v>496.377513927454</v>
      </c>
      <c r="R157">
        <v>626.49714807055102</v>
      </c>
      <c r="S157" t="s">
        <v>345</v>
      </c>
      <c r="T157">
        <v>1</v>
      </c>
      <c r="U157">
        <v>122.44398187829</v>
      </c>
      <c r="V157">
        <v>0.168149364769066</v>
      </c>
      <c r="W157">
        <v>11698.258</v>
      </c>
      <c r="X157">
        <v>5.35547384978644E-2</v>
      </c>
      <c r="Y157">
        <v>9.1949005126953125</v>
      </c>
      <c r="Z157">
        <v>6.7312908172607422</v>
      </c>
      <c r="AA157">
        <f t="shared" si="9"/>
        <v>0.34283412638600619</v>
      </c>
      <c r="AB157">
        <f t="shared" si="10"/>
        <v>-0.78272051236672913</v>
      </c>
      <c r="AC157" s="13">
        <f t="shared" si="11"/>
        <v>2.7686523017137483E-2</v>
      </c>
      <c r="AD157" s="13"/>
      <c r="AE157" s="13"/>
      <c r="AF157" s="13"/>
    </row>
    <row r="158" spans="1:32">
      <c r="A158" s="1" t="s">
        <v>346</v>
      </c>
      <c r="B158">
        <v>1458.5106858062015</v>
      </c>
      <c r="C158">
        <v>248.19532753350586</v>
      </c>
      <c r="D158">
        <v>11385.008333333333</v>
      </c>
      <c r="E158">
        <v>22397.880666666668</v>
      </c>
      <c r="F158">
        <v>11012.872333333333</v>
      </c>
      <c r="G158">
        <v>0.74378109452736318</v>
      </c>
      <c r="H158">
        <v>3.7505425308140411E-2</v>
      </c>
      <c r="I158">
        <v>11.453233600487591</v>
      </c>
      <c r="J158">
        <v>0.9227799480222636</v>
      </c>
      <c r="K158">
        <v>1</v>
      </c>
      <c r="L158">
        <f t="shared" si="8"/>
        <v>4.0419006046962522</v>
      </c>
      <c r="M158" t="s">
        <v>31</v>
      </c>
      <c r="N158">
        <v>412</v>
      </c>
      <c r="O158">
        <v>3</v>
      </c>
      <c r="P158">
        <v>1239</v>
      </c>
      <c r="Q158">
        <v>60.798681884576702</v>
      </c>
      <c r="R158">
        <v>76.736354364156099</v>
      </c>
      <c r="S158" t="s">
        <v>347</v>
      </c>
      <c r="T158">
        <v>3</v>
      </c>
      <c r="U158">
        <v>367.331945634872</v>
      </c>
      <c r="V158">
        <v>4.8763315783029197</v>
      </c>
      <c r="W158">
        <v>24318.46</v>
      </c>
      <c r="X158">
        <v>3.1554775411007101E-3</v>
      </c>
      <c r="Y158">
        <v>10.292026519775391</v>
      </c>
      <c r="Z158">
        <v>7.7089877128601074</v>
      </c>
      <c r="AA158">
        <f t="shared" si="9"/>
        <v>0.37140267979410146</v>
      </c>
      <c r="AB158">
        <f t="shared" si="10"/>
        <v>-0.78992781777756882</v>
      </c>
      <c r="AC158" s="13">
        <f t="shared" si="11"/>
        <v>-0.39492750542848665</v>
      </c>
      <c r="AD158" s="13"/>
      <c r="AE158" s="13"/>
      <c r="AF158" s="13"/>
    </row>
    <row r="159" spans="1:32">
      <c r="A159" s="1" t="s">
        <v>348</v>
      </c>
      <c r="B159">
        <v>280.08272300608928</v>
      </c>
      <c r="C159">
        <v>16.996758089499963</v>
      </c>
      <c r="D159">
        <v>550.17348000000004</v>
      </c>
      <c r="E159">
        <v>11729.943666666666</v>
      </c>
      <c r="F159">
        <v>11179.770186666667</v>
      </c>
      <c r="G159">
        <v>0.60405156537753224</v>
      </c>
      <c r="H159">
        <v>6.0404706318331232E-2</v>
      </c>
      <c r="I159">
        <v>0.91151033046243313</v>
      </c>
      <c r="J159">
        <v>0.17744609607024811</v>
      </c>
      <c r="K159">
        <v>1</v>
      </c>
      <c r="L159">
        <f t="shared" si="8"/>
        <v>4.0484328762079764</v>
      </c>
      <c r="M159" t="s">
        <v>31</v>
      </c>
      <c r="N159">
        <v>372</v>
      </c>
      <c r="O159">
        <v>3</v>
      </c>
      <c r="P159">
        <v>1119</v>
      </c>
      <c r="Q159">
        <v>67.318647770322201</v>
      </c>
      <c r="R159">
        <v>84.965454027872596</v>
      </c>
      <c r="S159" t="s">
        <v>349</v>
      </c>
      <c r="T159">
        <v>0</v>
      </c>
      <c r="U159">
        <v>0</v>
      </c>
      <c r="V159">
        <v>0</v>
      </c>
      <c r="W159">
        <v>12321.07</v>
      </c>
      <c r="X159">
        <v>6.89594767563796E-3</v>
      </c>
      <c r="Y159">
        <v>10.896536827087401</v>
      </c>
      <c r="Z159">
        <v>8.5691385269165039</v>
      </c>
      <c r="AA159">
        <f t="shared" si="9"/>
        <v>0.3824148620319433</v>
      </c>
      <c r="AB159">
        <f t="shared" si="10"/>
        <v>-0.78757000646156661</v>
      </c>
      <c r="AC159" s="13">
        <f t="shared" si="11"/>
        <v>-0.38860160332856164</v>
      </c>
      <c r="AD159" s="13"/>
      <c r="AE159" s="13"/>
      <c r="AF159" s="13"/>
    </row>
    <row r="160" spans="1:32">
      <c r="A160" s="1" t="s">
        <v>350</v>
      </c>
      <c r="B160">
        <v>6468.7327088180691</v>
      </c>
      <c r="C160">
        <v>47.866046565722478</v>
      </c>
      <c r="D160">
        <v>19917.096000000001</v>
      </c>
      <c r="E160">
        <v>31522.097666666668</v>
      </c>
      <c r="F160">
        <v>11605.001666666669</v>
      </c>
      <c r="G160">
        <v>0.69970845481049559</v>
      </c>
      <c r="H160">
        <v>6.4971716994887518E-2</v>
      </c>
      <c r="I160">
        <v>27.58518071773867</v>
      </c>
      <c r="J160">
        <v>12.329772534440057</v>
      </c>
      <c r="K160">
        <v>1</v>
      </c>
      <c r="L160">
        <f t="shared" si="8"/>
        <v>4.0646452071636805</v>
      </c>
      <c r="M160" t="s">
        <v>31</v>
      </c>
      <c r="N160">
        <v>353</v>
      </c>
      <c r="O160">
        <v>1</v>
      </c>
      <c r="P160">
        <v>1062</v>
      </c>
      <c r="Q160">
        <v>23.643931844002001</v>
      </c>
      <c r="R160">
        <v>29.841915586060701</v>
      </c>
      <c r="S160" t="s">
        <v>351</v>
      </c>
      <c r="T160">
        <v>0</v>
      </c>
      <c r="U160">
        <v>0</v>
      </c>
      <c r="V160">
        <v>0</v>
      </c>
      <c r="W160">
        <v>32599.835999999999</v>
      </c>
      <c r="X160">
        <v>9.1540078870521705E-4</v>
      </c>
      <c r="Y160">
        <v>11.74435424804688</v>
      </c>
      <c r="Z160">
        <v>9.0313568115234375</v>
      </c>
      <c r="AA160">
        <f t="shared" si="9"/>
        <v>0.41047230230155962</v>
      </c>
      <c r="AB160">
        <f t="shared" si="10"/>
        <v>-0.78709976683051897</v>
      </c>
      <c r="AC160" s="13">
        <f t="shared" si="11"/>
        <v>-0.43097636142292078</v>
      </c>
      <c r="AD160" s="13"/>
      <c r="AE160" s="13"/>
      <c r="AF160" s="13"/>
    </row>
    <row r="161" spans="1:32">
      <c r="A161" s="1" t="s">
        <v>352</v>
      </c>
      <c r="B161">
        <v>922.34314632223129</v>
      </c>
      <c r="C161">
        <v>86.137678490528927</v>
      </c>
      <c r="D161">
        <v>38085.436333333339</v>
      </c>
      <c r="E161">
        <v>49802.401000000005</v>
      </c>
      <c r="F161">
        <v>11716.964666666669</v>
      </c>
      <c r="G161">
        <v>0.56145004420866484</v>
      </c>
      <c r="H161">
        <v>0.14465933169733669</v>
      </c>
      <c r="I161">
        <v>0.58830873368743397</v>
      </c>
      <c r="J161">
        <v>0.21561519250897554</v>
      </c>
      <c r="K161">
        <v>1</v>
      </c>
      <c r="L161">
        <f t="shared" si="8"/>
        <v>4.0688151202785541</v>
      </c>
      <c r="M161" t="s">
        <v>31</v>
      </c>
      <c r="N161">
        <v>387</v>
      </c>
      <c r="O161">
        <v>33</v>
      </c>
      <c r="P161">
        <v>1164</v>
      </c>
      <c r="Q161">
        <v>711.87735000420605</v>
      </c>
      <c r="R161">
        <v>898.48777803185897</v>
      </c>
      <c r="S161" t="s">
        <v>353</v>
      </c>
      <c r="T161">
        <v>1</v>
      </c>
      <c r="U161">
        <v>122.44398187829</v>
      </c>
      <c r="V161">
        <v>0.147767623584937</v>
      </c>
      <c r="W161">
        <v>54608.836000000003</v>
      </c>
      <c r="X161">
        <v>1.64531574712901E-2</v>
      </c>
      <c r="Y161">
        <v>10.34838390350342</v>
      </c>
      <c r="Z161">
        <v>7.4366822242736816</v>
      </c>
      <c r="AA161">
        <f t="shared" si="9"/>
        <v>0.41785979671967521</v>
      </c>
      <c r="AB161">
        <f t="shared" si="10"/>
        <v>-0.77889477735477752</v>
      </c>
      <c r="AC161" s="13">
        <f t="shared" si="11"/>
        <v>0.23677210558925568</v>
      </c>
      <c r="AD161" s="13"/>
      <c r="AE161" s="13"/>
      <c r="AF161" s="13"/>
    </row>
    <row r="162" spans="1:32">
      <c r="A162" s="1" t="s">
        <v>354</v>
      </c>
      <c r="B162">
        <v>268.13709154730554</v>
      </c>
      <c r="C162">
        <v>21.420127328929077</v>
      </c>
      <c r="D162">
        <v>31.605410333333335</v>
      </c>
      <c r="E162">
        <v>11866.577666666666</v>
      </c>
      <c r="F162">
        <v>11834.972256333334</v>
      </c>
      <c r="G162">
        <v>0.62695924764890276</v>
      </c>
      <c r="H162">
        <v>6.2859499665219198E-2</v>
      </c>
      <c r="I162">
        <v>21.112626160856916</v>
      </c>
      <c r="J162">
        <v>6.0862565023027342</v>
      </c>
      <c r="K162">
        <v>1</v>
      </c>
      <c r="L162">
        <f t="shared" si="8"/>
        <v>4.0731672441885944</v>
      </c>
      <c r="M162" t="s">
        <v>31</v>
      </c>
      <c r="N162">
        <v>329</v>
      </c>
      <c r="O162">
        <v>196</v>
      </c>
      <c r="P162">
        <v>990</v>
      </c>
      <c r="Q162">
        <v>4971.2441426188998</v>
      </c>
      <c r="R162">
        <v>6274.3983970401096</v>
      </c>
      <c r="S162" t="s">
        <v>355</v>
      </c>
      <c r="T162">
        <v>0</v>
      </c>
      <c r="U162">
        <v>0</v>
      </c>
      <c r="V162">
        <v>0</v>
      </c>
      <c r="W162">
        <v>12864.137000000001</v>
      </c>
      <c r="X162">
        <v>0.48774343720376301</v>
      </c>
      <c r="Y162">
        <v>11.500007629394529</v>
      </c>
      <c r="Z162">
        <v>9.7312021255493164</v>
      </c>
      <c r="AA162">
        <f t="shared" si="9"/>
        <v>0.42564612264839963</v>
      </c>
      <c r="AB162">
        <f t="shared" si="10"/>
        <v>-0.78731725007462305</v>
      </c>
      <c r="AC162" s="13">
        <f t="shared" si="11"/>
        <v>4.3693608046590464</v>
      </c>
      <c r="AD162" s="13"/>
      <c r="AE162" s="13"/>
      <c r="AF162" s="13"/>
    </row>
    <row r="163" spans="1:32">
      <c r="A163" s="1" t="s">
        <v>356</v>
      </c>
      <c r="B163">
        <v>2531.3534499082502</v>
      </c>
      <c r="C163">
        <v>128.11664156861119</v>
      </c>
      <c r="D163">
        <v>803.44881666666663</v>
      </c>
      <c r="E163">
        <v>12854.345000000001</v>
      </c>
      <c r="F163">
        <v>12050.896183333332</v>
      </c>
      <c r="G163">
        <v>0.61304347826086958</v>
      </c>
      <c r="H163">
        <v>9.0116010031575058E-2</v>
      </c>
      <c r="I163">
        <v>17.807489742434971</v>
      </c>
      <c r="J163">
        <v>0.73639809919557675</v>
      </c>
      <c r="K163">
        <v>1</v>
      </c>
      <c r="L163">
        <f t="shared" si="8"/>
        <v>4.0810193450854992</v>
      </c>
      <c r="M163" t="s">
        <v>31</v>
      </c>
      <c r="N163">
        <v>470</v>
      </c>
      <c r="O163">
        <v>31</v>
      </c>
      <c r="P163">
        <v>1413</v>
      </c>
      <c r="Q163">
        <v>550.88855213604802</v>
      </c>
      <c r="R163">
        <v>695.29762556566902</v>
      </c>
      <c r="S163" t="s">
        <v>357</v>
      </c>
      <c r="T163">
        <v>3</v>
      </c>
      <c r="U163">
        <v>367.331945634872</v>
      </c>
      <c r="V163">
        <v>0.47190305596479898</v>
      </c>
      <c r="W163">
        <v>13967.206</v>
      </c>
      <c r="X163">
        <v>4.9780723901807503E-2</v>
      </c>
      <c r="Y163">
        <v>9.6728878021240234</v>
      </c>
      <c r="Z163">
        <v>7.3509440422058114</v>
      </c>
      <c r="AA163">
        <f t="shared" si="9"/>
        <v>0.43989312215225435</v>
      </c>
      <c r="AB163">
        <f t="shared" si="10"/>
        <v>-0.78451079914073019</v>
      </c>
      <c r="AC163" s="13">
        <f t="shared" si="11"/>
        <v>8.0575065245056254E-2</v>
      </c>
      <c r="AD163" s="13"/>
      <c r="AE163" s="13"/>
      <c r="AF163" s="13"/>
    </row>
    <row r="164" spans="1:32">
      <c r="A164" s="1" t="s">
        <v>358</v>
      </c>
      <c r="B164">
        <v>510.49865754638887</v>
      </c>
      <c r="C164">
        <v>52.533462341373209</v>
      </c>
      <c r="D164">
        <v>6449.4567999999999</v>
      </c>
      <c r="E164">
        <v>18557.596666666668</v>
      </c>
      <c r="F164">
        <v>12108.139866666666</v>
      </c>
      <c r="G164">
        <v>0.45258215962441317</v>
      </c>
      <c r="H164">
        <v>7.4342312395366483E-2</v>
      </c>
      <c r="I164">
        <v>0.23174845590207216</v>
      </c>
      <c r="J164">
        <v>4.4152748240293582E-2</v>
      </c>
      <c r="K164">
        <v>1</v>
      </c>
      <c r="L164">
        <f t="shared" si="8"/>
        <v>4.08307742904789</v>
      </c>
      <c r="M164" t="s">
        <v>31</v>
      </c>
      <c r="N164">
        <v>365</v>
      </c>
      <c r="O164">
        <v>91</v>
      </c>
      <c r="P164">
        <v>1098</v>
      </c>
      <c r="Q164">
        <v>2081.0536077122401</v>
      </c>
      <c r="R164">
        <v>2626.5777833042598</v>
      </c>
      <c r="S164" t="s">
        <v>359</v>
      </c>
      <c r="T164">
        <v>1</v>
      </c>
      <c r="U164">
        <v>122.44398187829</v>
      </c>
      <c r="V164">
        <v>5.3586061300032101E-2</v>
      </c>
      <c r="W164">
        <v>21135.129000000001</v>
      </c>
      <c r="X164">
        <v>0.12427545548949601</v>
      </c>
      <c r="Y164">
        <v>9.9162282943725586</v>
      </c>
      <c r="Z164">
        <v>10.167276382446291</v>
      </c>
      <c r="AA164">
        <f t="shared" si="9"/>
        <v>0.44367015019810324</v>
      </c>
      <c r="AB164">
        <f t="shared" si="10"/>
        <v>-0.78613492885752345</v>
      </c>
      <c r="AC164" s="13">
        <f t="shared" si="11"/>
        <v>1.5651954617204304</v>
      </c>
      <c r="AD164" s="13"/>
      <c r="AE164" s="13"/>
      <c r="AF164" s="13"/>
    </row>
    <row r="165" spans="1:32">
      <c r="A165" s="1" t="s">
        <v>360</v>
      </c>
      <c r="B165">
        <v>6413.7339109554787</v>
      </c>
      <c r="C165">
        <v>86.349428479385338</v>
      </c>
      <c r="D165">
        <v>4601.8774666666668</v>
      </c>
      <c r="E165">
        <v>16816.409</v>
      </c>
      <c r="F165">
        <v>12214.531533333333</v>
      </c>
      <c r="G165">
        <v>0.51050228310502288</v>
      </c>
      <c r="H165">
        <v>8.4654791134750829E-2</v>
      </c>
      <c r="I165">
        <v>6.9398875960467746E-2</v>
      </c>
      <c r="J165">
        <v>4.2314094650152623E-2</v>
      </c>
      <c r="K165">
        <v>1</v>
      </c>
      <c r="L165">
        <f t="shared" si="8"/>
        <v>4.0868768150352217</v>
      </c>
      <c r="M165" t="s">
        <v>31</v>
      </c>
      <c r="N165">
        <v>375</v>
      </c>
      <c r="O165">
        <v>35</v>
      </c>
      <c r="P165">
        <v>1128</v>
      </c>
      <c r="Q165">
        <v>779.11786049783404</v>
      </c>
      <c r="R165">
        <v>983.354611998118</v>
      </c>
      <c r="S165" t="s">
        <v>361</v>
      </c>
      <c r="T165">
        <v>1</v>
      </c>
      <c r="U165">
        <v>122.44398187829</v>
      </c>
      <c r="V165">
        <v>0.13932375938008301</v>
      </c>
      <c r="W165">
        <v>20606.21</v>
      </c>
      <c r="X165">
        <v>4.77212748971362E-2</v>
      </c>
      <c r="Y165">
        <v>10.19781398773193</v>
      </c>
      <c r="Z165">
        <v>7.4823670387268066</v>
      </c>
      <c r="AA165">
        <f t="shared" si="9"/>
        <v>0.45069003930105705</v>
      </c>
      <c r="AB165">
        <f t="shared" si="10"/>
        <v>-0.78507311040754968</v>
      </c>
      <c r="AC165" s="13">
        <f t="shared" si="11"/>
        <v>0.30201123321439038</v>
      </c>
      <c r="AD165" s="13"/>
      <c r="AE165" s="13"/>
      <c r="AF165" s="13"/>
    </row>
    <row r="166" spans="1:32">
      <c r="A166" s="1" t="s">
        <v>362</v>
      </c>
      <c r="B166">
        <v>6453.6073749395846</v>
      </c>
      <c r="C166">
        <v>42.91815089864123</v>
      </c>
      <c r="D166">
        <v>4309.767866666667</v>
      </c>
      <c r="E166">
        <v>16557.056666666667</v>
      </c>
      <c r="F166">
        <v>12247.2888</v>
      </c>
      <c r="G166">
        <v>0.56111111111111112</v>
      </c>
      <c r="H166">
        <v>5.227490523222237E-2</v>
      </c>
      <c r="I166">
        <v>2.9881193886650359</v>
      </c>
      <c r="J166">
        <v>0.97681012089883101</v>
      </c>
      <c r="K166">
        <v>1</v>
      </c>
      <c r="L166">
        <f t="shared" si="8"/>
        <v>4.0880399589440088</v>
      </c>
      <c r="M166" t="s">
        <v>31</v>
      </c>
      <c r="N166">
        <v>370</v>
      </c>
      <c r="O166">
        <v>29</v>
      </c>
      <c r="P166">
        <v>1113</v>
      </c>
      <c r="Q166">
        <v>654.25499814157695</v>
      </c>
      <c r="R166">
        <v>825.76039193126496</v>
      </c>
      <c r="S166" t="s">
        <v>363</v>
      </c>
      <c r="T166">
        <v>1</v>
      </c>
      <c r="U166">
        <v>122.44398187829</v>
      </c>
      <c r="V166">
        <v>0.168149364769066</v>
      </c>
      <c r="W166">
        <v>18677.011999999999</v>
      </c>
      <c r="X166">
        <v>4.4212660565365797E-2</v>
      </c>
      <c r="Y166">
        <v>11.476658821105961</v>
      </c>
      <c r="Z166">
        <v>6.9081058502197266</v>
      </c>
      <c r="AA166">
        <f t="shared" si="9"/>
        <v>0.45285141515426502</v>
      </c>
      <c r="AB166">
        <f t="shared" si="10"/>
        <v>-0.78840708676068794</v>
      </c>
      <c r="AC166" s="13">
        <f t="shared" si="11"/>
        <v>0.18086485652720818</v>
      </c>
      <c r="AD166" s="13"/>
      <c r="AE166" s="13"/>
      <c r="AF166" s="13"/>
    </row>
    <row r="167" spans="1:32">
      <c r="A167" s="1" t="s">
        <v>364</v>
      </c>
      <c r="B167">
        <v>6502.78819186694</v>
      </c>
      <c r="C167">
        <v>49.062406072948896</v>
      </c>
      <c r="D167">
        <v>718.44795000000011</v>
      </c>
      <c r="E167">
        <v>13004.323333333334</v>
      </c>
      <c r="F167">
        <v>12285.875383333332</v>
      </c>
      <c r="G167">
        <v>0.6658692185007975</v>
      </c>
      <c r="H167">
        <v>4.6721259224667022E-2</v>
      </c>
      <c r="I167">
        <v>29.549071535595573</v>
      </c>
      <c r="J167">
        <v>15.567666453681067</v>
      </c>
      <c r="K167">
        <v>1</v>
      </c>
      <c r="L167">
        <f t="shared" si="8"/>
        <v>4.0894061059204514</v>
      </c>
      <c r="M167" t="s">
        <v>31</v>
      </c>
      <c r="N167">
        <v>428</v>
      </c>
      <c r="O167">
        <v>13</v>
      </c>
      <c r="P167">
        <v>1287</v>
      </c>
      <c r="Q167">
        <v>253.63490523565801</v>
      </c>
      <c r="R167">
        <v>320.12236719592403</v>
      </c>
      <c r="S167" t="s">
        <v>365</v>
      </c>
      <c r="T167">
        <v>2</v>
      </c>
      <c r="U167">
        <v>244.887963756581</v>
      </c>
      <c r="V167">
        <v>0.75020485820045002</v>
      </c>
      <c r="W167">
        <v>13269.145500000001</v>
      </c>
      <c r="X167">
        <v>2.4125318936017701E-2</v>
      </c>
      <c r="Y167">
        <v>10.588943481445311</v>
      </c>
      <c r="Z167">
        <v>6.6171884536743164</v>
      </c>
      <c r="AA167">
        <f t="shared" si="9"/>
        <v>0.45539741846776272</v>
      </c>
      <c r="AB167">
        <f t="shared" si="10"/>
        <v>-0.78897891473187431</v>
      </c>
      <c r="AC167" s="13">
        <f t="shared" si="11"/>
        <v>-0.20783096357307709</v>
      </c>
      <c r="AD167" s="13"/>
      <c r="AE167" s="13"/>
      <c r="AF167" s="13"/>
    </row>
    <row r="168" spans="1:32">
      <c r="A168" s="1" t="s">
        <v>366</v>
      </c>
      <c r="B168">
        <v>467.18856112169698</v>
      </c>
      <c r="C168">
        <v>39.049349228654222</v>
      </c>
      <c r="D168">
        <v>1224.8727866666666</v>
      </c>
      <c r="E168">
        <v>13778.675666666668</v>
      </c>
      <c r="F168">
        <v>12553.802879999997</v>
      </c>
      <c r="G168">
        <v>0.53333333333333333</v>
      </c>
      <c r="H168">
        <v>8.3472001959744427E-2</v>
      </c>
      <c r="I168">
        <v>11.388845532653768</v>
      </c>
      <c r="J168">
        <v>0.29259694790375107</v>
      </c>
      <c r="K168">
        <v>1</v>
      </c>
      <c r="L168">
        <f t="shared" si="8"/>
        <v>4.0987753050697995</v>
      </c>
      <c r="M168" t="s">
        <v>31</v>
      </c>
      <c r="N168">
        <v>425</v>
      </c>
      <c r="O168">
        <v>19</v>
      </c>
      <c r="P168">
        <v>1278</v>
      </c>
      <c r="Q168">
        <v>373.30771263558103</v>
      </c>
      <c r="R168">
        <v>471.16601932357798</v>
      </c>
      <c r="S168" t="s">
        <v>367</v>
      </c>
      <c r="T168">
        <v>0</v>
      </c>
      <c r="U168">
        <v>0</v>
      </c>
      <c r="V168">
        <v>0</v>
      </c>
      <c r="W168">
        <v>15639.4</v>
      </c>
      <c r="X168">
        <v>3.0126860322236E-2</v>
      </c>
      <c r="Y168">
        <v>10.67661762237549</v>
      </c>
      <c r="Z168">
        <v>6.7952151298522949</v>
      </c>
      <c r="AA168">
        <f t="shared" si="9"/>
        <v>0.47307569509561909</v>
      </c>
      <c r="AB168">
        <f t="shared" si="10"/>
        <v>-0.7851948956155671</v>
      </c>
      <c r="AC168" s="13">
        <f t="shared" si="11"/>
        <v>-9.1720162243548189E-2</v>
      </c>
      <c r="AD168" s="13"/>
      <c r="AE168" s="13"/>
      <c r="AF168" s="13"/>
    </row>
    <row r="169" spans="1:32">
      <c r="A169" s="1" t="s">
        <v>368</v>
      </c>
      <c r="B169">
        <v>282.57477735827308</v>
      </c>
      <c r="C169">
        <v>25.365350957346994</v>
      </c>
      <c r="D169">
        <v>82701.166666666672</v>
      </c>
      <c r="E169">
        <v>95402.840000000011</v>
      </c>
      <c r="F169">
        <v>12701.67333333333</v>
      </c>
      <c r="G169">
        <v>0.468210216832047</v>
      </c>
      <c r="H169">
        <v>0.88269473704569534</v>
      </c>
      <c r="I169">
        <v>5.1247547518081396</v>
      </c>
      <c r="J169">
        <v>4.1678669137979902</v>
      </c>
      <c r="K169">
        <v>0.99999868572656525</v>
      </c>
      <c r="L169">
        <f t="shared" si="8"/>
        <v>4.103860939189147</v>
      </c>
      <c r="M169" t="s">
        <v>31</v>
      </c>
      <c r="N169">
        <v>917</v>
      </c>
      <c r="O169">
        <v>71</v>
      </c>
      <c r="P169">
        <v>2754</v>
      </c>
      <c r="Q169">
        <v>647.34921891846102</v>
      </c>
      <c r="R169">
        <v>817.04434241835497</v>
      </c>
      <c r="S169" t="s">
        <v>369</v>
      </c>
      <c r="T169">
        <v>1</v>
      </c>
      <c r="U169">
        <v>122.44398187829</v>
      </c>
      <c r="V169">
        <v>6.8680726454970795E-2</v>
      </c>
      <c r="W169">
        <v>117266.84</v>
      </c>
      <c r="X169">
        <v>6.9673945543203396E-3</v>
      </c>
      <c r="Y169">
        <v>5.997673511505127</v>
      </c>
      <c r="Z169">
        <v>7.7905869483947754</v>
      </c>
      <c r="AA169">
        <f t="shared" si="9"/>
        <v>0.48283241962608198</v>
      </c>
      <c r="AB169">
        <f t="shared" si="10"/>
        <v>-0.70290338576627187</v>
      </c>
      <c r="AC169" s="13">
        <f t="shared" si="11"/>
        <v>0.17416462464644997</v>
      </c>
      <c r="AD169" s="13"/>
      <c r="AE169" s="13"/>
      <c r="AF169" s="13"/>
    </row>
    <row r="170" spans="1:32">
      <c r="A170" s="1" t="s">
        <v>370</v>
      </c>
      <c r="B170">
        <v>6396.6661999062599</v>
      </c>
      <c r="C170">
        <v>112.89577873680199</v>
      </c>
      <c r="D170">
        <v>11929.287000000002</v>
      </c>
      <c r="E170">
        <v>24854.867999999999</v>
      </c>
      <c r="F170">
        <v>12925.580999999998</v>
      </c>
      <c r="G170">
        <v>0.53472222222222232</v>
      </c>
      <c r="H170">
        <v>4.1008202814481455E-2</v>
      </c>
      <c r="I170">
        <v>2.2464050417745178</v>
      </c>
      <c r="J170">
        <v>2.3838484389815324</v>
      </c>
      <c r="K170">
        <v>1</v>
      </c>
      <c r="L170">
        <f t="shared" si="8"/>
        <v>4.1114500735782</v>
      </c>
      <c r="M170" t="s">
        <v>31</v>
      </c>
      <c r="N170">
        <v>394</v>
      </c>
      <c r="O170">
        <v>15</v>
      </c>
      <c r="P170">
        <v>1185</v>
      </c>
      <c r="Q170">
        <v>317.84627364974898</v>
      </c>
      <c r="R170">
        <v>401.16600446071499</v>
      </c>
      <c r="S170" t="s">
        <v>371</v>
      </c>
      <c r="T170">
        <v>4</v>
      </c>
      <c r="U170">
        <v>489.775927513162</v>
      </c>
      <c r="V170">
        <v>1.3003550875474399</v>
      </c>
      <c r="W170">
        <v>30327.743999999999</v>
      </c>
      <c r="X170">
        <v>1.3227690277942E-2</v>
      </c>
      <c r="Y170">
        <v>11.0633659362793</v>
      </c>
      <c r="Z170">
        <v>8.2606515884399414</v>
      </c>
      <c r="AA170">
        <f t="shared" si="9"/>
        <v>0.49760619880021362</v>
      </c>
      <c r="AB170">
        <f t="shared" si="10"/>
        <v>-0.78956715630360308</v>
      </c>
      <c r="AC170" s="13">
        <f t="shared" si="11"/>
        <v>-0.14553081700669429</v>
      </c>
      <c r="AD170" s="13"/>
      <c r="AE170" s="13"/>
      <c r="AF170" s="13"/>
    </row>
    <row r="171" spans="1:32">
      <c r="A171" s="1" t="s">
        <v>372</v>
      </c>
      <c r="B171">
        <v>530.47261307835936</v>
      </c>
      <c r="C171">
        <v>48.867425211165568</v>
      </c>
      <c r="D171">
        <v>220.04076999999998</v>
      </c>
      <c r="E171">
        <v>13261.94</v>
      </c>
      <c r="F171">
        <v>13041.899230000001</v>
      </c>
      <c r="G171">
        <v>0.63858695652173902</v>
      </c>
      <c r="H171">
        <v>3.9658273112685029E-2</v>
      </c>
      <c r="I171">
        <v>24.967734781068675</v>
      </c>
      <c r="J171">
        <v>7.2689934107706051</v>
      </c>
      <c r="K171">
        <v>1</v>
      </c>
      <c r="L171">
        <f t="shared" si="8"/>
        <v>4.1153408402492957</v>
      </c>
      <c r="M171" t="s">
        <v>31</v>
      </c>
      <c r="N171">
        <v>378</v>
      </c>
      <c r="O171">
        <v>3</v>
      </c>
      <c r="P171">
        <v>1137</v>
      </c>
      <c r="Q171">
        <v>66.2529171987604</v>
      </c>
      <c r="R171">
        <v>83.620354491811298</v>
      </c>
      <c r="S171" t="s">
        <v>373</v>
      </c>
      <c r="T171">
        <v>2</v>
      </c>
      <c r="U171">
        <v>244.887963756581</v>
      </c>
      <c r="V171">
        <v>3.2508877188686101</v>
      </c>
      <c r="W171">
        <v>15244.503000000001</v>
      </c>
      <c r="X171">
        <v>5.48527915221712E-3</v>
      </c>
      <c r="Y171">
        <v>11.304561614990231</v>
      </c>
      <c r="Z171">
        <v>7.6627845764160156</v>
      </c>
      <c r="AA171">
        <f t="shared" si="9"/>
        <v>0.50528105812740298</v>
      </c>
      <c r="AB171">
        <f t="shared" si="10"/>
        <v>-0.78970615103995701</v>
      </c>
      <c r="AC171" s="13">
        <f t="shared" si="11"/>
        <v>-0.38963561291982896</v>
      </c>
      <c r="AD171" s="13"/>
      <c r="AE171" s="13"/>
      <c r="AF171" s="13"/>
    </row>
    <row r="172" spans="1:32">
      <c r="A172" s="1" t="s">
        <v>374</v>
      </c>
      <c r="B172">
        <v>2114.1729740120304</v>
      </c>
      <c r="C172">
        <v>601.80898460659591</v>
      </c>
      <c r="D172">
        <v>3576.2797866666665</v>
      </c>
      <c r="E172">
        <v>16960.542333333331</v>
      </c>
      <c r="F172">
        <v>13384.262546666667</v>
      </c>
      <c r="G172">
        <v>0.57367668097281832</v>
      </c>
      <c r="H172">
        <v>5.8712478517834538E-2</v>
      </c>
      <c r="I172">
        <v>28.656654014936276</v>
      </c>
      <c r="J172">
        <v>12.39925485626811</v>
      </c>
      <c r="K172">
        <v>1</v>
      </c>
      <c r="L172">
        <f t="shared" si="8"/>
        <v>4.1265944471900102</v>
      </c>
      <c r="M172" t="s">
        <v>31</v>
      </c>
      <c r="N172">
        <v>476</v>
      </c>
      <c r="O172">
        <v>59</v>
      </c>
      <c r="P172">
        <v>1431</v>
      </c>
      <c r="Q172">
        <v>1035.27706602479</v>
      </c>
      <c r="R172">
        <v>1306.6629956613499</v>
      </c>
      <c r="S172" t="s">
        <v>375</v>
      </c>
      <c r="T172">
        <v>6</v>
      </c>
      <c r="U172">
        <v>734.663891269744</v>
      </c>
      <c r="V172">
        <v>0.49589812660707699</v>
      </c>
      <c r="W172">
        <v>22034.607</v>
      </c>
      <c r="X172">
        <v>5.9300490163557297E-2</v>
      </c>
      <c r="Y172">
        <v>9.507354736328125</v>
      </c>
      <c r="Z172">
        <v>6.5149250030517578</v>
      </c>
      <c r="AA172">
        <f t="shared" si="9"/>
        <v>0.52787072695409165</v>
      </c>
      <c r="AB172">
        <f t="shared" si="10"/>
        <v>-0.78774424572503909</v>
      </c>
      <c r="AC172" s="13">
        <f t="shared" si="11"/>
        <v>0.55054597780574588</v>
      </c>
      <c r="AD172" s="13"/>
      <c r="AE172" s="13"/>
      <c r="AF172" s="13"/>
    </row>
    <row r="173" spans="1:32">
      <c r="A173" s="1" t="s">
        <v>376</v>
      </c>
      <c r="B173">
        <v>496.88510147844721</v>
      </c>
      <c r="C173">
        <v>41.167302960061804</v>
      </c>
      <c r="D173">
        <v>3016.8798000000002</v>
      </c>
      <c r="E173">
        <v>16550.191000000003</v>
      </c>
      <c r="F173">
        <v>13533.311200000002</v>
      </c>
      <c r="G173">
        <v>0.59090909090909094</v>
      </c>
      <c r="H173">
        <v>4.7593432516186612E-2</v>
      </c>
      <c r="I173">
        <v>7.7009403240793945</v>
      </c>
      <c r="J173">
        <v>1.1645069121007843</v>
      </c>
      <c r="K173">
        <v>1</v>
      </c>
      <c r="L173">
        <f t="shared" si="8"/>
        <v>4.1314040685822322</v>
      </c>
      <c r="M173" t="s">
        <v>31</v>
      </c>
      <c r="N173">
        <v>428</v>
      </c>
      <c r="O173">
        <v>7</v>
      </c>
      <c r="P173">
        <v>1287</v>
      </c>
      <c r="Q173">
        <v>136.57264128073899</v>
      </c>
      <c r="R173">
        <v>172.373582336266</v>
      </c>
      <c r="S173" t="s">
        <v>377</v>
      </c>
      <c r="T173">
        <v>2</v>
      </c>
      <c r="U173">
        <v>244.887963756581</v>
      </c>
      <c r="V173">
        <v>1.3932375938008299</v>
      </c>
      <c r="W173">
        <v>16205.554</v>
      </c>
      <c r="X173">
        <v>1.0636697908400199E-2</v>
      </c>
      <c r="Y173">
        <v>10.5875997543335</v>
      </c>
      <c r="Z173">
        <v>6.9275894165039063</v>
      </c>
      <c r="AA173">
        <f t="shared" si="9"/>
        <v>0.53770519096923652</v>
      </c>
      <c r="AB173">
        <f t="shared" si="10"/>
        <v>-0.7888891119098842</v>
      </c>
      <c r="AC173" s="13">
        <f t="shared" si="11"/>
        <v>-0.32140892308255892</v>
      </c>
      <c r="AD173" s="13"/>
      <c r="AE173" s="13"/>
      <c r="AF173" s="13"/>
    </row>
    <row r="174" spans="1:32">
      <c r="A174" s="1" t="s">
        <v>378</v>
      </c>
      <c r="B174">
        <v>601.68335139806584</v>
      </c>
      <c r="C174">
        <v>91.580125886114146</v>
      </c>
      <c r="D174">
        <v>34522.22</v>
      </c>
      <c r="E174">
        <v>48081.659000000007</v>
      </c>
      <c r="F174">
        <v>13559.439</v>
      </c>
      <c r="G174">
        <v>0.74224343675417659</v>
      </c>
      <c r="H174">
        <v>4.4816100293222666E-2</v>
      </c>
      <c r="I174">
        <v>8.0140488189928156</v>
      </c>
      <c r="J174">
        <v>1.6766477388653771</v>
      </c>
      <c r="K174">
        <v>1</v>
      </c>
      <c r="L174">
        <f t="shared" si="8"/>
        <v>4.132241721666416</v>
      </c>
      <c r="M174" t="s">
        <v>31</v>
      </c>
      <c r="N174">
        <v>429</v>
      </c>
      <c r="O174">
        <v>4</v>
      </c>
      <c r="P174">
        <v>1290</v>
      </c>
      <c r="Q174">
        <v>77.860017421178895</v>
      </c>
      <c r="R174">
        <v>98.2701220229348</v>
      </c>
      <c r="S174" t="s">
        <v>379</v>
      </c>
      <c r="T174">
        <v>0</v>
      </c>
      <c r="U174">
        <v>0</v>
      </c>
      <c r="V174">
        <v>0</v>
      </c>
      <c r="W174">
        <v>45714.476999999999</v>
      </c>
      <c r="X174">
        <v>2.1496499243102902E-3</v>
      </c>
      <c r="Y174">
        <v>9.678339958190918</v>
      </c>
      <c r="Z174">
        <v>7.393181324005127</v>
      </c>
      <c r="AA174">
        <f t="shared" si="9"/>
        <v>0.53942914420966082</v>
      </c>
      <c r="AB174">
        <f t="shared" si="10"/>
        <v>-0.78917507832693845</v>
      </c>
      <c r="AC174" s="13">
        <f t="shared" si="11"/>
        <v>-0.37837399269700439</v>
      </c>
      <c r="AD174" s="13"/>
      <c r="AE174" s="13"/>
      <c r="AF174" s="13"/>
    </row>
    <row r="175" spans="1:32">
      <c r="A175" s="1" t="s">
        <v>380</v>
      </c>
      <c r="B175">
        <v>6400.706702937292</v>
      </c>
      <c r="C175">
        <v>99.999564897111156</v>
      </c>
      <c r="D175">
        <v>127422.84133333333</v>
      </c>
      <c r="E175">
        <v>141013.63500000001</v>
      </c>
      <c r="F175">
        <v>13590.793666666659</v>
      </c>
      <c r="G175">
        <v>0.55728155339805818</v>
      </c>
      <c r="H175">
        <v>5.885856333711359E-2</v>
      </c>
      <c r="I175">
        <v>9.6284874419777999</v>
      </c>
      <c r="J175">
        <v>1.810464038078742</v>
      </c>
      <c r="K175">
        <v>1</v>
      </c>
      <c r="L175">
        <f t="shared" si="8"/>
        <v>4.1332448191305264</v>
      </c>
      <c r="M175" t="s">
        <v>31</v>
      </c>
      <c r="N175">
        <v>525</v>
      </c>
      <c r="O175">
        <v>14</v>
      </c>
      <c r="P175">
        <v>1578</v>
      </c>
      <c r="Q175">
        <v>222.77438444652799</v>
      </c>
      <c r="R175">
        <v>281.17211719489899</v>
      </c>
      <c r="S175" t="s">
        <v>381</v>
      </c>
      <c r="T175">
        <v>5</v>
      </c>
      <c r="U175">
        <v>612.21990939145303</v>
      </c>
      <c r="V175">
        <v>1.74154699225104</v>
      </c>
      <c r="W175">
        <v>153758.45000000001</v>
      </c>
      <c r="X175">
        <v>1.8286612358208499E-3</v>
      </c>
      <c r="Y175">
        <v>8.5247526168823242</v>
      </c>
      <c r="Z175">
        <v>6.6832485198974609</v>
      </c>
      <c r="AA175">
        <f t="shared" si="9"/>
        <v>0.54149797431408653</v>
      </c>
      <c r="AB175">
        <f t="shared" si="10"/>
        <v>-0.78772920418553216</v>
      </c>
      <c r="AC175" s="13">
        <f t="shared" si="11"/>
        <v>-0.23777293515479148</v>
      </c>
      <c r="AD175" s="13"/>
      <c r="AE175" s="13"/>
      <c r="AF175" s="13"/>
    </row>
    <row r="176" spans="1:32">
      <c r="A176" s="1" t="s">
        <v>382</v>
      </c>
      <c r="B176">
        <v>394.87617563487771</v>
      </c>
      <c r="C176">
        <v>19.291780564466148</v>
      </c>
      <c r="D176">
        <v>125364.35333333333</v>
      </c>
      <c r="E176">
        <v>139028.18333333335</v>
      </c>
      <c r="F176">
        <v>13663.830000000007</v>
      </c>
      <c r="G176">
        <v>0.48194794290512172</v>
      </c>
      <c r="H176">
        <v>0.11239179447864667</v>
      </c>
      <c r="I176">
        <v>9.2541612077920306</v>
      </c>
      <c r="J176">
        <v>3.0164872192978152</v>
      </c>
      <c r="K176">
        <v>1</v>
      </c>
      <c r="L176">
        <f t="shared" si="8"/>
        <v>4.1355724500573716</v>
      </c>
      <c r="M176" t="s">
        <v>31</v>
      </c>
      <c r="N176">
        <v>407</v>
      </c>
      <c r="O176">
        <v>54</v>
      </c>
      <c r="P176">
        <v>1224</v>
      </c>
      <c r="Q176">
        <v>1107.7877478675</v>
      </c>
      <c r="R176">
        <v>1398.1815155469001</v>
      </c>
      <c r="S176" t="s">
        <v>383</v>
      </c>
      <c r="T176">
        <v>4</v>
      </c>
      <c r="U176">
        <v>489.775927513162</v>
      </c>
      <c r="V176">
        <v>0.361209746540957</v>
      </c>
      <c r="W176">
        <v>143420.70000000001</v>
      </c>
      <c r="X176">
        <v>9.7488125183247901E-3</v>
      </c>
      <c r="Y176">
        <v>12.390193939208981</v>
      </c>
      <c r="Z176">
        <v>9.4948596954345703</v>
      </c>
      <c r="AA176">
        <f t="shared" si="9"/>
        <v>0.54631702618675637</v>
      </c>
      <c r="AB176">
        <f t="shared" si="10"/>
        <v>-0.78221718579021671</v>
      </c>
      <c r="AC176" s="13">
        <f t="shared" si="11"/>
        <v>0.62089841255370015</v>
      </c>
      <c r="AD176" s="13"/>
      <c r="AE176" s="13"/>
      <c r="AF176" s="13"/>
    </row>
    <row r="177" spans="1:32">
      <c r="A177" s="1" t="s">
        <v>384</v>
      </c>
      <c r="B177">
        <v>6459.0052253253525</v>
      </c>
      <c r="C177">
        <v>50.775318962833623</v>
      </c>
      <c r="D177">
        <v>648.16018999999994</v>
      </c>
      <c r="E177">
        <v>14464.588333333333</v>
      </c>
      <c r="F177">
        <v>13816.428143333333</v>
      </c>
      <c r="G177">
        <v>0.55009633911368017</v>
      </c>
      <c r="H177">
        <v>4.8055893137277352E-2</v>
      </c>
      <c r="I177">
        <v>0.88809465225659068</v>
      </c>
      <c r="J177">
        <v>0.27313601226355333</v>
      </c>
      <c r="K177">
        <v>1</v>
      </c>
      <c r="L177">
        <f t="shared" si="8"/>
        <v>4.1403957826808657</v>
      </c>
      <c r="M177" t="s">
        <v>31</v>
      </c>
      <c r="N177">
        <v>356</v>
      </c>
      <c r="O177">
        <v>4</v>
      </c>
      <c r="P177">
        <v>1071</v>
      </c>
      <c r="Q177">
        <v>93.780973364445103</v>
      </c>
      <c r="R177">
        <v>118.364572744711</v>
      </c>
      <c r="S177" t="s">
        <v>385</v>
      </c>
      <c r="T177">
        <v>1</v>
      </c>
      <c r="U177">
        <v>122.44398187829</v>
      </c>
      <c r="V177">
        <v>1.2190828945757299</v>
      </c>
      <c r="W177">
        <v>16371.425999999999</v>
      </c>
      <c r="X177">
        <v>7.2299488599656099E-3</v>
      </c>
      <c r="Y177">
        <v>11.02424430847168</v>
      </c>
      <c r="Z177">
        <v>8.1504507064819336</v>
      </c>
      <c r="AA177">
        <f t="shared" si="9"/>
        <v>0.55638569112150937</v>
      </c>
      <c r="AB177">
        <f t="shared" si="10"/>
        <v>-0.7888414949176682</v>
      </c>
      <c r="AC177" s="13">
        <f t="shared" si="11"/>
        <v>-0.3629269166847644</v>
      </c>
      <c r="AD177" s="13"/>
      <c r="AE177" s="13"/>
      <c r="AF177" s="13"/>
    </row>
    <row r="178" spans="1:32">
      <c r="A178" s="1" t="s">
        <v>386</v>
      </c>
      <c r="B178">
        <v>6275.4743377006598</v>
      </c>
      <c r="C178">
        <v>205.29547877571594</v>
      </c>
      <c r="D178">
        <v>625.59682666666663</v>
      </c>
      <c r="E178">
        <v>14803.248666666666</v>
      </c>
      <c r="F178">
        <v>14177.65184</v>
      </c>
      <c r="G178">
        <v>0.53574504737295436</v>
      </c>
      <c r="H178">
        <v>4.8791893908480911E-2</v>
      </c>
      <c r="I178">
        <v>8.6191189292853725</v>
      </c>
      <c r="J178">
        <v>0.98675293498627126</v>
      </c>
      <c r="K178">
        <v>1</v>
      </c>
      <c r="L178">
        <f t="shared" si="8"/>
        <v>4.1516043071956314</v>
      </c>
      <c r="M178" t="s">
        <v>31</v>
      </c>
      <c r="N178">
        <v>397</v>
      </c>
      <c r="O178">
        <v>2</v>
      </c>
      <c r="P178">
        <v>1194</v>
      </c>
      <c r="Q178">
        <v>42.060059662194597</v>
      </c>
      <c r="R178">
        <v>53.085618680731102</v>
      </c>
      <c r="S178" t="s">
        <v>387</v>
      </c>
      <c r="T178">
        <v>0</v>
      </c>
      <c r="U178">
        <v>0</v>
      </c>
      <c r="V178">
        <v>0</v>
      </c>
      <c r="W178">
        <v>16482.613000000001</v>
      </c>
      <c r="X178">
        <v>3.22070406438173E-3</v>
      </c>
      <c r="Y178">
        <v>11.298835754394529</v>
      </c>
      <c r="Z178">
        <v>8.3093461990356445</v>
      </c>
      <c r="AA178">
        <f t="shared" si="9"/>
        <v>0.58021979741391039</v>
      </c>
      <c r="AB178">
        <f t="shared" si="10"/>
        <v>-0.78876571302101572</v>
      </c>
      <c r="AC178" s="13">
        <f t="shared" si="11"/>
        <v>-0.41310838117899157</v>
      </c>
      <c r="AD178" s="13"/>
      <c r="AE178" s="13"/>
      <c r="AF178" s="13"/>
    </row>
    <row r="179" spans="1:32">
      <c r="A179" s="1" t="s">
        <v>388</v>
      </c>
      <c r="B179">
        <v>198.36719194356968</v>
      </c>
      <c r="C179">
        <v>13.885289019430767</v>
      </c>
      <c r="D179">
        <v>79685.307000000015</v>
      </c>
      <c r="E179">
        <v>94019.386666666658</v>
      </c>
      <c r="F179">
        <v>14334.079666666657</v>
      </c>
      <c r="G179">
        <v>0.70040485829959509</v>
      </c>
      <c r="H179">
        <v>6.6070280119671157E-2</v>
      </c>
      <c r="I179">
        <v>7.9770905307679232E-2</v>
      </c>
      <c r="J179">
        <v>3.8298953663172118E-2</v>
      </c>
      <c r="K179">
        <v>1</v>
      </c>
      <c r="L179">
        <f t="shared" si="8"/>
        <v>4.1563698138838756</v>
      </c>
      <c r="M179" t="s">
        <v>31</v>
      </c>
      <c r="N179">
        <v>504</v>
      </c>
      <c r="O179">
        <v>45</v>
      </c>
      <c r="P179">
        <v>1515</v>
      </c>
      <c r="Q179">
        <v>745.83729559396602</v>
      </c>
      <c r="R179">
        <v>941.34993125930202</v>
      </c>
      <c r="S179" t="s">
        <v>389</v>
      </c>
      <c r="T179">
        <v>3</v>
      </c>
      <c r="U179">
        <v>367.331945634872</v>
      </c>
      <c r="V179">
        <v>0.32508877188686103</v>
      </c>
      <c r="W179">
        <v>116280.28</v>
      </c>
      <c r="X179">
        <v>8.0955251506042297E-3</v>
      </c>
      <c r="Y179">
        <v>9.6629314422607422</v>
      </c>
      <c r="Z179">
        <v>6.7164521217346191</v>
      </c>
      <c r="AA179">
        <f t="shared" si="9"/>
        <v>0.59054115086404912</v>
      </c>
      <c r="AB179">
        <f t="shared" si="10"/>
        <v>-0.78698665390938372</v>
      </c>
      <c r="AC179" s="13">
        <f t="shared" si="11"/>
        <v>0.26972124901794714</v>
      </c>
      <c r="AD179" s="13"/>
      <c r="AE179" s="13"/>
      <c r="AF179" s="13"/>
    </row>
    <row r="180" spans="1:32">
      <c r="A180" s="1" t="s">
        <v>390</v>
      </c>
      <c r="B180">
        <v>114.88520324177777</v>
      </c>
      <c r="C180">
        <v>15.361095402831298</v>
      </c>
      <c r="D180">
        <v>61.173357666666668</v>
      </c>
      <c r="E180">
        <v>15162.993333333334</v>
      </c>
      <c r="F180">
        <v>15101.819975666667</v>
      </c>
      <c r="G180">
        <v>0.68858131487889274</v>
      </c>
      <c r="H180">
        <v>5.186159278934175E-2</v>
      </c>
      <c r="I180">
        <v>4.0322202987881495</v>
      </c>
      <c r="J180">
        <v>1.3733502813261103</v>
      </c>
      <c r="K180">
        <v>1</v>
      </c>
      <c r="L180">
        <f t="shared" si="8"/>
        <v>4.1790292888666789</v>
      </c>
      <c r="M180" t="s">
        <v>31</v>
      </c>
      <c r="N180">
        <v>299</v>
      </c>
      <c r="O180">
        <v>8</v>
      </c>
      <c r="P180">
        <v>900</v>
      </c>
      <c r="Q180">
        <v>223.198716607379</v>
      </c>
      <c r="R180">
        <v>281.70768313241302</v>
      </c>
      <c r="S180" t="s">
        <v>391</v>
      </c>
      <c r="T180">
        <v>0</v>
      </c>
      <c r="U180">
        <v>0</v>
      </c>
      <c r="V180">
        <v>0</v>
      </c>
      <c r="W180">
        <v>15219.775</v>
      </c>
      <c r="X180">
        <v>1.85093198245317E-2</v>
      </c>
      <c r="Y180">
        <v>12.421821594238279</v>
      </c>
      <c r="Z180">
        <v>11.128410339355471</v>
      </c>
      <c r="AA180">
        <f t="shared" si="9"/>
        <v>0.64119786109242749</v>
      </c>
      <c r="AB180">
        <f t="shared" si="10"/>
        <v>-0.78844964323896483</v>
      </c>
      <c r="AC180" s="13">
        <f t="shared" si="11"/>
        <v>-0.23736123304554244</v>
      </c>
      <c r="AD180" s="13"/>
      <c r="AE180" s="13"/>
      <c r="AF180" s="13"/>
    </row>
    <row r="181" spans="1:32">
      <c r="A181" s="1" t="s">
        <v>392</v>
      </c>
      <c r="B181">
        <v>5386.6018120163244</v>
      </c>
      <c r="C181">
        <v>227.43723805598887</v>
      </c>
      <c r="D181">
        <v>20657.906333333332</v>
      </c>
      <c r="E181">
        <v>35821.216666666667</v>
      </c>
      <c r="F181">
        <v>15163.310333333335</v>
      </c>
      <c r="G181">
        <v>0.65895458440445587</v>
      </c>
      <c r="H181">
        <v>4.8935518646599306E-2</v>
      </c>
      <c r="I181">
        <v>11.409111362768067</v>
      </c>
      <c r="J181">
        <v>2.1983780647048525</v>
      </c>
      <c r="K181">
        <v>1</v>
      </c>
      <c r="L181">
        <f t="shared" si="8"/>
        <v>4.1807940233645908</v>
      </c>
      <c r="M181" t="s">
        <v>31</v>
      </c>
      <c r="N181">
        <v>399</v>
      </c>
      <c r="O181">
        <v>14</v>
      </c>
      <c r="P181">
        <v>1200</v>
      </c>
      <c r="Q181">
        <v>292.94831554718502</v>
      </c>
      <c r="R181">
        <v>369.74133411129202</v>
      </c>
      <c r="S181" t="s">
        <v>393</v>
      </c>
      <c r="T181">
        <v>3</v>
      </c>
      <c r="U181">
        <v>367.331945634872</v>
      </c>
      <c r="V181">
        <v>1.04492819535062</v>
      </c>
      <c r="W181">
        <v>39745.535000000003</v>
      </c>
      <c r="X181">
        <v>9.3027137290086093E-3</v>
      </c>
      <c r="Y181">
        <v>10.55258178710938</v>
      </c>
      <c r="Z181">
        <v>7.3321599960327148</v>
      </c>
      <c r="AA181">
        <f t="shared" si="9"/>
        <v>0.64525509137413151</v>
      </c>
      <c r="AB181">
        <f t="shared" si="10"/>
        <v>-0.78875092478235254</v>
      </c>
      <c r="AC181" s="13">
        <f t="shared" si="11"/>
        <v>-0.1696876988378094</v>
      </c>
      <c r="AD181" s="13"/>
      <c r="AE181" s="13"/>
      <c r="AF181" s="13"/>
    </row>
    <row r="182" spans="1:32">
      <c r="A182" s="1" t="s">
        <v>394</v>
      </c>
      <c r="B182">
        <v>6404.1234288709447</v>
      </c>
      <c r="C182">
        <v>38.883523812022752</v>
      </c>
      <c r="D182">
        <v>2165.6545000000001</v>
      </c>
      <c r="E182">
        <v>17335.705333333335</v>
      </c>
      <c r="F182">
        <v>15170.050833333335</v>
      </c>
      <c r="G182">
        <v>0.59874888293118855</v>
      </c>
      <c r="H182">
        <v>5.7123184443118313E-2</v>
      </c>
      <c r="I182">
        <v>22.688653393176661</v>
      </c>
      <c r="J182">
        <v>7.5713363836554883</v>
      </c>
      <c r="K182">
        <v>1</v>
      </c>
      <c r="L182">
        <f t="shared" si="8"/>
        <v>4.180987036066834</v>
      </c>
      <c r="M182" t="s">
        <v>31</v>
      </c>
      <c r="N182">
        <v>383</v>
      </c>
      <c r="O182">
        <v>6</v>
      </c>
      <c r="P182">
        <v>1152</v>
      </c>
      <c r="Q182">
        <v>130.78049801213601</v>
      </c>
      <c r="R182">
        <v>165.063095585398</v>
      </c>
      <c r="S182" t="s">
        <v>395</v>
      </c>
      <c r="T182">
        <v>1</v>
      </c>
      <c r="U182">
        <v>122.44398187829</v>
      </c>
      <c r="V182">
        <v>0.81272192971715396</v>
      </c>
      <c r="W182">
        <v>19091.580000000002</v>
      </c>
      <c r="X182">
        <v>8.6458583095478901E-3</v>
      </c>
      <c r="Y182">
        <v>11.533010482788089</v>
      </c>
      <c r="Z182">
        <v>8.6694736480712891</v>
      </c>
      <c r="AA182">
        <f t="shared" si="9"/>
        <v>0.64569984014046777</v>
      </c>
      <c r="AB182">
        <f t="shared" si="10"/>
        <v>-0.78790788647656096</v>
      </c>
      <c r="AC182" s="13">
        <f t="shared" si="11"/>
        <v>-0.32702866587078866</v>
      </c>
      <c r="AD182" s="13"/>
      <c r="AE182" s="13"/>
      <c r="AF182" s="13"/>
    </row>
    <row r="183" spans="1:32">
      <c r="A183" s="1" t="s">
        <v>396</v>
      </c>
      <c r="B183">
        <v>468.50223747487865</v>
      </c>
      <c r="C183">
        <v>32.927149176595321</v>
      </c>
      <c r="D183">
        <v>7411.2512333333334</v>
      </c>
      <c r="E183">
        <v>22874.817333333336</v>
      </c>
      <c r="F183">
        <v>15463.566099999998</v>
      </c>
      <c r="G183">
        <v>0.44807121661721072</v>
      </c>
      <c r="H183">
        <v>0.12887600164119745</v>
      </c>
      <c r="I183">
        <v>1.2587961189559376</v>
      </c>
      <c r="J183">
        <v>0.22457368633468885</v>
      </c>
      <c r="K183">
        <v>1</v>
      </c>
      <c r="L183">
        <f t="shared" si="8"/>
        <v>4.189309655103564</v>
      </c>
      <c r="M183" t="s">
        <v>31</v>
      </c>
      <c r="N183">
        <v>347</v>
      </c>
      <c r="O183">
        <v>17</v>
      </c>
      <c r="P183">
        <v>1044</v>
      </c>
      <c r="Q183">
        <v>408.87695930231098</v>
      </c>
      <c r="R183">
        <v>516.05933332446398</v>
      </c>
      <c r="S183" t="s">
        <v>397</v>
      </c>
      <c r="T183">
        <v>0</v>
      </c>
      <c r="U183">
        <v>0</v>
      </c>
      <c r="V183">
        <v>0</v>
      </c>
      <c r="W183">
        <v>25225.511999999999</v>
      </c>
      <c r="X183">
        <v>2.0457833851874399E-2</v>
      </c>
      <c r="Y183">
        <v>11.06679630279541</v>
      </c>
      <c r="Z183">
        <v>9.7590799331665039</v>
      </c>
      <c r="AA183">
        <f t="shared" si="9"/>
        <v>0.66506643798200205</v>
      </c>
      <c r="AB183">
        <f t="shared" si="10"/>
        <v>-0.7805198988681562</v>
      </c>
      <c r="AC183" s="13">
        <f t="shared" si="11"/>
        <v>-5.7209617844266834E-2</v>
      </c>
      <c r="AD183" s="13"/>
      <c r="AE183" s="13"/>
      <c r="AF183" s="13"/>
    </row>
    <row r="184" spans="1:32">
      <c r="A184" s="1" t="s">
        <v>398</v>
      </c>
      <c r="B184">
        <v>456.83499854262442</v>
      </c>
      <c r="C184">
        <v>42.324471251884987</v>
      </c>
      <c r="D184">
        <v>10973.593666666668</v>
      </c>
      <c r="E184">
        <v>26458.975333333336</v>
      </c>
      <c r="F184">
        <v>15485.381666666666</v>
      </c>
      <c r="G184">
        <v>0.48517520215633425</v>
      </c>
      <c r="H184">
        <v>5.3990959905261114E-2</v>
      </c>
      <c r="I184">
        <v>7.2195643211541011E-2</v>
      </c>
      <c r="J184">
        <v>3.4581894219311786E-2</v>
      </c>
      <c r="K184">
        <v>1</v>
      </c>
      <c r="L184">
        <f t="shared" si="8"/>
        <v>4.1899219138377566</v>
      </c>
      <c r="M184" t="s">
        <v>31</v>
      </c>
      <c r="N184">
        <v>381</v>
      </c>
      <c r="O184">
        <v>50</v>
      </c>
      <c r="P184">
        <v>1146</v>
      </c>
      <c r="Q184">
        <v>1095.5434388451199</v>
      </c>
      <c r="R184">
        <v>1382.7275022860599</v>
      </c>
      <c r="S184" t="s">
        <v>399</v>
      </c>
      <c r="T184">
        <v>7</v>
      </c>
      <c r="U184">
        <v>857.10787314803395</v>
      </c>
      <c r="V184">
        <v>0.68268642096240895</v>
      </c>
      <c r="W184">
        <v>34446.93</v>
      </c>
      <c r="X184">
        <v>4.0140805066984399E-2</v>
      </c>
      <c r="Y184">
        <v>11.23922920227051</v>
      </c>
      <c r="Z184">
        <v>7.3929753303527832</v>
      </c>
      <c r="AA184">
        <f t="shared" si="9"/>
        <v>0.66650586330088446</v>
      </c>
      <c r="AB184">
        <f t="shared" si="10"/>
        <v>-0.78823039417697016</v>
      </c>
      <c r="AC184" s="13">
        <f t="shared" si="11"/>
        <v>0.60901854975776937</v>
      </c>
      <c r="AD184" s="13"/>
      <c r="AE184" s="13"/>
      <c r="AF184" s="13"/>
    </row>
    <row r="185" spans="1:32">
      <c r="A185" s="1" t="s">
        <v>400</v>
      </c>
      <c r="B185">
        <v>135.6510391402141</v>
      </c>
      <c r="C185">
        <v>34.156898835439051</v>
      </c>
      <c r="D185">
        <v>2.1058073333333334</v>
      </c>
      <c r="E185">
        <v>16384.216166666665</v>
      </c>
      <c r="F185">
        <v>16382.110359333334</v>
      </c>
      <c r="G185">
        <v>0.42337164750957856</v>
      </c>
      <c r="H185">
        <v>0.164637905388029</v>
      </c>
      <c r="I185">
        <v>12.366439114093891</v>
      </c>
      <c r="J185">
        <v>2.5645924458024849</v>
      </c>
      <c r="K185">
        <v>1</v>
      </c>
      <c r="L185">
        <f t="shared" si="8"/>
        <v>4.2143698472642921</v>
      </c>
      <c r="M185" t="s">
        <v>31</v>
      </c>
      <c r="N185">
        <v>358</v>
      </c>
      <c r="O185">
        <v>21</v>
      </c>
      <c r="P185">
        <v>1077</v>
      </c>
      <c r="Q185">
        <v>489.60721261368002</v>
      </c>
      <c r="R185">
        <v>617.95209043670002</v>
      </c>
      <c r="S185" t="s">
        <v>401</v>
      </c>
      <c r="T185">
        <v>6</v>
      </c>
      <c r="U185">
        <v>734.663891269744</v>
      </c>
      <c r="V185">
        <v>1.3932375938008299</v>
      </c>
      <c r="W185">
        <v>15223.770500000001</v>
      </c>
      <c r="X185">
        <v>4.0591264196783598E-2</v>
      </c>
      <c r="Y185">
        <v>12.219612121582029</v>
      </c>
      <c r="Z185">
        <v>12.49011325836182</v>
      </c>
      <c r="AA185">
        <f t="shared" si="9"/>
        <v>0.72567342947577362</v>
      </c>
      <c r="AB185">
        <f t="shared" si="10"/>
        <v>-0.77683769499029043</v>
      </c>
      <c r="AC185" s="13">
        <f t="shared" si="11"/>
        <v>2.1117736608060853E-2</v>
      </c>
      <c r="AD185" s="13"/>
      <c r="AE185" s="13"/>
      <c r="AF185" s="13"/>
    </row>
    <row r="186" spans="1:32">
      <c r="A186" s="1" t="s">
        <v>402</v>
      </c>
      <c r="B186">
        <v>6168.6388488812599</v>
      </c>
      <c r="C186">
        <v>41.464493852754586</v>
      </c>
      <c r="D186">
        <v>379.38220000000001</v>
      </c>
      <c r="E186">
        <v>16771.818333333333</v>
      </c>
      <c r="F186">
        <v>16392.436133333333</v>
      </c>
      <c r="G186">
        <v>0.58045977011494254</v>
      </c>
      <c r="H186">
        <v>6.4589759572622404E-2</v>
      </c>
      <c r="I186">
        <v>23.85391627192196</v>
      </c>
      <c r="J186">
        <v>12.670429053532974</v>
      </c>
      <c r="K186">
        <v>1</v>
      </c>
      <c r="L186">
        <f t="shared" si="8"/>
        <v>4.2146435002845681</v>
      </c>
      <c r="M186" t="s">
        <v>31</v>
      </c>
      <c r="N186">
        <v>358</v>
      </c>
      <c r="O186">
        <v>6</v>
      </c>
      <c r="P186">
        <v>1077</v>
      </c>
      <c r="Q186">
        <v>139.88777503247999</v>
      </c>
      <c r="R186">
        <v>176.55774012477099</v>
      </c>
      <c r="S186" t="s">
        <v>403</v>
      </c>
      <c r="T186">
        <v>0</v>
      </c>
      <c r="U186">
        <v>0</v>
      </c>
      <c r="V186">
        <v>0</v>
      </c>
      <c r="W186">
        <v>18153.473000000002</v>
      </c>
      <c r="X186">
        <v>9.7258381426392308E-3</v>
      </c>
      <c r="Y186">
        <v>11.74362850189209</v>
      </c>
      <c r="Z186">
        <v>10.61248874664307</v>
      </c>
      <c r="AA186">
        <f t="shared" si="9"/>
        <v>0.72635474024618629</v>
      </c>
      <c r="AB186">
        <f t="shared" si="10"/>
        <v>-0.78713909485710842</v>
      </c>
      <c r="AC186" s="13">
        <f t="shared" si="11"/>
        <v>-0.31819246276218821</v>
      </c>
      <c r="AD186" s="13"/>
      <c r="AE186" s="13"/>
      <c r="AF186" s="13"/>
    </row>
    <row r="187" spans="1:32">
      <c r="A187" s="1" t="s">
        <v>404</v>
      </c>
      <c r="B187">
        <v>238.80341692867387</v>
      </c>
      <c r="C187">
        <v>11.569317221059716</v>
      </c>
      <c r="D187">
        <v>323.45168333333334</v>
      </c>
      <c r="E187">
        <v>16895.300666666666</v>
      </c>
      <c r="F187">
        <v>16571.848983333333</v>
      </c>
      <c r="G187">
        <v>0.4145420207743154</v>
      </c>
      <c r="H187">
        <v>6.9093176784217267E-2</v>
      </c>
      <c r="I187">
        <v>0.41281708061652661</v>
      </c>
      <c r="J187">
        <v>0.13495072612500023</v>
      </c>
      <c r="K187">
        <v>1</v>
      </c>
      <c r="L187">
        <f t="shared" si="8"/>
        <v>4.2193709669866326</v>
      </c>
      <c r="M187" t="s">
        <v>31</v>
      </c>
      <c r="N187">
        <v>363</v>
      </c>
      <c r="O187">
        <v>6</v>
      </c>
      <c r="P187">
        <v>1092</v>
      </c>
      <c r="Q187">
        <v>137.96623966115399</v>
      </c>
      <c r="R187">
        <v>174.13249644173899</v>
      </c>
      <c r="S187" t="s">
        <v>405</v>
      </c>
      <c r="T187">
        <v>3</v>
      </c>
      <c r="U187">
        <v>367.331945634872</v>
      </c>
      <c r="V187">
        <v>2.4381657891514599</v>
      </c>
      <c r="W187">
        <v>18258.366999999998</v>
      </c>
      <c r="X187">
        <v>9.5371342049230898E-3</v>
      </c>
      <c r="Y187">
        <v>11.490195274353029</v>
      </c>
      <c r="Z187">
        <v>7.3880281448364258</v>
      </c>
      <c r="AA187">
        <f t="shared" si="9"/>
        <v>0.73819268160103757</v>
      </c>
      <c r="AB187">
        <f t="shared" si="10"/>
        <v>-0.78667540309065287</v>
      </c>
      <c r="AC187" s="13">
        <f t="shared" si="11"/>
        <v>-0.32005680451697055</v>
      </c>
      <c r="AD187" s="13"/>
      <c r="AE187" s="13"/>
      <c r="AF187" s="13"/>
    </row>
    <row r="188" spans="1:32">
      <c r="A188" s="1" t="s">
        <v>406</v>
      </c>
      <c r="B188">
        <v>6455.085589316398</v>
      </c>
      <c r="C188">
        <v>60.547711889940459</v>
      </c>
      <c r="D188">
        <v>14427.820166666666</v>
      </c>
      <c r="E188">
        <v>31114.635666666669</v>
      </c>
      <c r="F188">
        <v>16686.815500000001</v>
      </c>
      <c r="G188">
        <v>0.7018425460636516</v>
      </c>
      <c r="H188">
        <v>6.6271276199476023E-2</v>
      </c>
      <c r="I188">
        <v>8.014424205868135</v>
      </c>
      <c r="J188">
        <v>2.0644759709029907</v>
      </c>
      <c r="K188">
        <v>1</v>
      </c>
      <c r="L188">
        <f t="shared" si="8"/>
        <v>4.2223734641366688</v>
      </c>
      <c r="M188" t="s">
        <v>31</v>
      </c>
      <c r="N188">
        <v>408</v>
      </c>
      <c r="O188">
        <v>5</v>
      </c>
      <c r="P188">
        <v>1227</v>
      </c>
      <c r="Q188">
        <v>102.32215003394499</v>
      </c>
      <c r="R188">
        <v>129.14472026241401</v>
      </c>
      <c r="S188" t="s">
        <v>407</v>
      </c>
      <c r="T188">
        <v>0</v>
      </c>
      <c r="U188">
        <v>0</v>
      </c>
      <c r="V188">
        <v>0</v>
      </c>
      <c r="W188">
        <v>30170.428</v>
      </c>
      <c r="X188">
        <v>4.2805067353507299E-3</v>
      </c>
      <c r="Y188">
        <v>10.73710346221924</v>
      </c>
      <c r="Z188">
        <v>8.8480052947998047</v>
      </c>
      <c r="AA188">
        <f t="shared" si="9"/>
        <v>0.74577835276155668</v>
      </c>
      <c r="AB188">
        <f t="shared" si="10"/>
        <v>-0.78696595846347761</v>
      </c>
      <c r="AC188" s="13">
        <f t="shared" si="11"/>
        <v>-0.35463996421043531</v>
      </c>
      <c r="AD188" s="13"/>
      <c r="AE188" s="13"/>
      <c r="AF188" s="13"/>
    </row>
    <row r="189" spans="1:32">
      <c r="A189" s="1" t="s">
        <v>408</v>
      </c>
      <c r="B189">
        <v>479.14684999771833</v>
      </c>
      <c r="C189">
        <v>50.404166112573421</v>
      </c>
      <c r="D189">
        <v>7771.5048666666671</v>
      </c>
      <c r="E189">
        <v>25443.926000000003</v>
      </c>
      <c r="F189">
        <v>17672.421133333333</v>
      </c>
      <c r="G189">
        <v>0.61358152361254747</v>
      </c>
      <c r="H189">
        <v>5.8941351866778589E-2</v>
      </c>
      <c r="I189">
        <v>27.188185045732066</v>
      </c>
      <c r="J189">
        <v>6.9742021709377582</v>
      </c>
      <c r="K189">
        <v>1</v>
      </c>
      <c r="L189">
        <f t="shared" si="8"/>
        <v>4.2472960522128345</v>
      </c>
      <c r="M189" t="s">
        <v>31</v>
      </c>
      <c r="N189">
        <v>977</v>
      </c>
      <c r="O189">
        <v>7</v>
      </c>
      <c r="P189">
        <v>2934</v>
      </c>
      <c r="Q189">
        <v>59.907630991244403</v>
      </c>
      <c r="R189">
        <v>75.611724767135399</v>
      </c>
      <c r="S189" t="s">
        <v>409</v>
      </c>
      <c r="T189">
        <v>0</v>
      </c>
      <c r="U189">
        <v>0</v>
      </c>
      <c r="V189">
        <v>0</v>
      </c>
      <c r="W189">
        <v>34315.440000000002</v>
      </c>
      <c r="X189">
        <v>2.2034315971800199E-3</v>
      </c>
      <c r="Y189">
        <v>6.1163363456726074</v>
      </c>
      <c r="Z189">
        <v>7.8618764877319336</v>
      </c>
      <c r="AA189">
        <f t="shared" si="9"/>
        <v>0.81081015893603658</v>
      </c>
      <c r="AB189">
        <f t="shared" si="10"/>
        <v>-0.78772067991212846</v>
      </c>
      <c r="AC189" s="13">
        <f t="shared" si="11"/>
        <v>-0.39579203460180556</v>
      </c>
      <c r="AD189" s="13"/>
      <c r="AE189" s="13"/>
      <c r="AF189" s="13"/>
    </row>
    <row r="190" spans="1:32">
      <c r="A190" s="1" t="s">
        <v>410</v>
      </c>
      <c r="B190">
        <v>6447.1005879659506</v>
      </c>
      <c r="C190">
        <v>42.907978898000948</v>
      </c>
      <c r="D190">
        <v>420.18648666666667</v>
      </c>
      <c r="E190">
        <v>18113.511333333332</v>
      </c>
      <c r="F190">
        <v>17693.324846666666</v>
      </c>
      <c r="G190">
        <v>0.54361370716510904</v>
      </c>
      <c r="H190">
        <v>4.8880448273662808E-2</v>
      </c>
      <c r="I190">
        <v>19.633729045556546</v>
      </c>
      <c r="J190">
        <v>4.4241848751634958</v>
      </c>
      <c r="K190">
        <v>1</v>
      </c>
      <c r="L190">
        <f t="shared" si="8"/>
        <v>4.2478094511618805</v>
      </c>
      <c r="M190" t="s">
        <v>31</v>
      </c>
      <c r="N190">
        <v>438</v>
      </c>
      <c r="O190">
        <v>37</v>
      </c>
      <c r="P190">
        <v>1317</v>
      </c>
      <c r="Q190">
        <v>705.44013506318697</v>
      </c>
      <c r="R190">
        <v>890.36312151759296</v>
      </c>
      <c r="S190" t="s">
        <v>411</v>
      </c>
      <c r="T190">
        <v>0</v>
      </c>
      <c r="U190">
        <v>0</v>
      </c>
      <c r="V190">
        <v>0</v>
      </c>
      <c r="W190">
        <v>18193.973000000002</v>
      </c>
      <c r="X190">
        <v>4.8937256393509702E-2</v>
      </c>
      <c r="Y190">
        <v>8.953282356262207</v>
      </c>
      <c r="Z190">
        <v>7.440800666809082</v>
      </c>
      <c r="AA190">
        <f t="shared" si="9"/>
        <v>0.81218941874122119</v>
      </c>
      <c r="AB190">
        <f t="shared" si="10"/>
        <v>-0.78875659507166984</v>
      </c>
      <c r="AC190" s="13">
        <f t="shared" si="11"/>
        <v>0.23052649139024742</v>
      </c>
      <c r="AD190" s="13"/>
      <c r="AE190" s="13"/>
      <c r="AF190" s="13"/>
    </row>
    <row r="191" spans="1:32">
      <c r="A191" s="1" t="s">
        <v>412</v>
      </c>
      <c r="B191">
        <v>6196.4650329259593</v>
      </c>
      <c r="C191">
        <v>24.236887315689263</v>
      </c>
      <c r="D191">
        <v>10986.971</v>
      </c>
      <c r="E191">
        <v>28754.984333333337</v>
      </c>
      <c r="F191">
        <v>17768.013333333332</v>
      </c>
      <c r="G191">
        <v>0.58952380952380956</v>
      </c>
      <c r="H191">
        <v>3.3660735409866034E-2</v>
      </c>
      <c r="I191">
        <v>10.768184840764837</v>
      </c>
      <c r="J191">
        <v>7.3974513192891305</v>
      </c>
      <c r="K191">
        <v>1</v>
      </c>
      <c r="L191">
        <f t="shared" si="8"/>
        <v>4.2496388714404016</v>
      </c>
      <c r="M191" t="s">
        <v>31</v>
      </c>
      <c r="N191">
        <v>360</v>
      </c>
      <c r="O191">
        <v>18</v>
      </c>
      <c r="P191">
        <v>1083</v>
      </c>
      <c r="Q191">
        <v>417.33832052626298</v>
      </c>
      <c r="R191">
        <v>526.73874269911005</v>
      </c>
      <c r="S191" t="s">
        <v>413</v>
      </c>
      <c r="T191">
        <v>0</v>
      </c>
      <c r="U191">
        <v>0</v>
      </c>
      <c r="V191">
        <v>0</v>
      </c>
      <c r="W191">
        <v>29923.55</v>
      </c>
      <c r="X191">
        <v>1.7602815932571798E-2</v>
      </c>
      <c r="Y191">
        <v>10.342472076416019</v>
      </c>
      <c r="Z191">
        <v>9.9433374404907227</v>
      </c>
      <c r="AA191">
        <f t="shared" si="9"/>
        <v>0.81711748228317249</v>
      </c>
      <c r="AB191">
        <f t="shared" si="10"/>
        <v>-0.79032368406457743</v>
      </c>
      <c r="AC191" s="13">
        <f t="shared" si="11"/>
        <v>-4.9000105145458848E-2</v>
      </c>
      <c r="AD191" s="13"/>
      <c r="AE191" s="13"/>
      <c r="AF191" s="13"/>
    </row>
    <row r="192" spans="1:32">
      <c r="A192" s="1" t="s">
        <v>414</v>
      </c>
      <c r="B192">
        <v>461.5071604452171</v>
      </c>
      <c r="C192">
        <v>28.579291898281369</v>
      </c>
      <c r="D192">
        <v>4068.0757000000008</v>
      </c>
      <c r="E192">
        <v>21839.457666666665</v>
      </c>
      <c r="F192">
        <v>17771.381966666664</v>
      </c>
      <c r="G192">
        <v>0.67041198501872656</v>
      </c>
      <c r="H192">
        <v>5.6778496135577415E-2</v>
      </c>
      <c r="I192">
        <v>3.4339625780914247</v>
      </c>
      <c r="J192">
        <v>1.5069005540818003</v>
      </c>
      <c r="K192">
        <v>1</v>
      </c>
      <c r="L192">
        <f t="shared" si="8"/>
        <v>4.2497212014215542</v>
      </c>
      <c r="M192" t="s">
        <v>31</v>
      </c>
      <c r="N192">
        <v>455</v>
      </c>
      <c r="O192">
        <v>8</v>
      </c>
      <c r="P192">
        <v>1368</v>
      </c>
      <c r="Q192">
        <v>146.84126092590699</v>
      </c>
      <c r="R192">
        <v>185.33400206079801</v>
      </c>
      <c r="S192" t="s">
        <v>415</v>
      </c>
      <c r="T192">
        <v>0</v>
      </c>
      <c r="U192">
        <v>0</v>
      </c>
      <c r="V192">
        <v>0</v>
      </c>
      <c r="W192">
        <v>21573.884999999998</v>
      </c>
      <c r="X192">
        <v>8.5906642248625206E-3</v>
      </c>
      <c r="Y192">
        <v>10.02432250976562</v>
      </c>
      <c r="Z192">
        <v>7.2533783912658691</v>
      </c>
      <c r="AA192">
        <f t="shared" si="9"/>
        <v>0.81733974999613723</v>
      </c>
      <c r="AB192">
        <f t="shared" si="10"/>
        <v>-0.78794337711016005</v>
      </c>
      <c r="AC192" s="13">
        <f t="shared" si="11"/>
        <v>-0.31144594417821869</v>
      </c>
      <c r="AD192" s="13"/>
      <c r="AE192" s="13"/>
      <c r="AF192" s="13"/>
    </row>
    <row r="193" spans="1:32">
      <c r="A193" s="1" t="s">
        <v>416</v>
      </c>
      <c r="B193">
        <v>2916.7577294661587</v>
      </c>
      <c r="C193">
        <v>827.1842387779684</v>
      </c>
      <c r="D193">
        <v>15995.023666666666</v>
      </c>
      <c r="E193">
        <v>34431.008666666661</v>
      </c>
      <c r="F193">
        <v>18435.985000000001</v>
      </c>
      <c r="G193">
        <v>0.62705530642750373</v>
      </c>
      <c r="H193">
        <v>5.2853140145677345E-2</v>
      </c>
      <c r="I193">
        <v>26.984657939877433</v>
      </c>
      <c r="J193">
        <v>16.145356772156873</v>
      </c>
      <c r="K193">
        <v>1</v>
      </c>
      <c r="L193">
        <f t="shared" si="8"/>
        <v>4.265666346099267</v>
      </c>
      <c r="M193" t="s">
        <v>31</v>
      </c>
      <c r="N193">
        <v>456</v>
      </c>
      <c r="O193">
        <v>20</v>
      </c>
      <c r="P193">
        <v>1371</v>
      </c>
      <c r="Q193">
        <v>366.299863141213</v>
      </c>
      <c r="R193">
        <v>462.32114299630098</v>
      </c>
      <c r="S193" t="s">
        <v>417</v>
      </c>
      <c r="T193">
        <v>1</v>
      </c>
      <c r="U193">
        <v>122.44398187829</v>
      </c>
      <c r="V193">
        <v>0.24381657891514599</v>
      </c>
      <c r="W193">
        <v>33465.722999999998</v>
      </c>
      <c r="X193">
        <v>1.3814766320641001E-2</v>
      </c>
      <c r="Y193">
        <v>9.1612091064453125</v>
      </c>
      <c r="Z193">
        <v>7.2171163558959961</v>
      </c>
      <c r="AA193">
        <f t="shared" si="9"/>
        <v>0.86119130094611818</v>
      </c>
      <c r="AB193">
        <f t="shared" si="10"/>
        <v>-0.78834754913495875</v>
      </c>
      <c r="AC193" s="13">
        <f t="shared" si="11"/>
        <v>-9.851942632088051E-2</v>
      </c>
      <c r="AD193" s="13"/>
      <c r="AE193" s="13"/>
      <c r="AF193" s="13"/>
    </row>
    <row r="194" spans="1:32">
      <c r="A194" s="1" t="s">
        <v>418</v>
      </c>
      <c r="B194">
        <v>813.52780486065205</v>
      </c>
      <c r="C194">
        <v>140.47738284670257</v>
      </c>
      <c r="D194">
        <v>57179.815666666662</v>
      </c>
      <c r="E194">
        <v>75761.386666666658</v>
      </c>
      <c r="F194">
        <v>18581.570999999996</v>
      </c>
      <c r="G194">
        <v>0.50662878787878785</v>
      </c>
      <c r="H194">
        <v>0.10554416000622842</v>
      </c>
      <c r="I194">
        <v>4.8344487177487787</v>
      </c>
      <c r="J194">
        <v>0.66908314307801386</v>
      </c>
      <c r="K194">
        <v>1</v>
      </c>
      <c r="L194">
        <f t="shared" ref="L194:L257" si="12">LOG10(F194)</f>
        <v>4.2690824291295462</v>
      </c>
      <c r="M194" t="s">
        <v>31</v>
      </c>
      <c r="N194">
        <v>362</v>
      </c>
      <c r="O194">
        <v>24</v>
      </c>
      <c r="P194">
        <v>1089</v>
      </c>
      <c r="Q194">
        <v>553.385247786891</v>
      </c>
      <c r="R194">
        <v>698.44880115474302</v>
      </c>
      <c r="S194" t="s">
        <v>419</v>
      </c>
      <c r="T194">
        <v>1</v>
      </c>
      <c r="U194">
        <v>122.44398187829</v>
      </c>
      <c r="V194">
        <v>0.20318048242928799</v>
      </c>
      <c r="W194">
        <v>66526.179999999993</v>
      </c>
      <c r="X194">
        <v>1.0498856257111701E-2</v>
      </c>
      <c r="Y194">
        <v>10.10625648498535</v>
      </c>
      <c r="Z194">
        <v>9.598719596862793</v>
      </c>
      <c r="AA194">
        <f t="shared" ref="AA194:AA257" si="13">(F194-AVERAGE(F:F))/_xlfn.STDEV.P(F:F)</f>
        <v>0.87079729366117353</v>
      </c>
      <c r="AB194">
        <f t="shared" ref="AB194:AB257" si="14">(H194-AVERAGE(H:H))/_xlfn.STDEV.P(H:H)</f>
        <v>-0.78292224854042836</v>
      </c>
      <c r="AC194" s="13">
        <f t="shared" ref="AC194:AC257" si="15">(Q194-AVERAGE(Q:Q))/_xlfn.STDEV.P(Q:Q)</f>
        <v>8.2997447898172788E-2</v>
      </c>
      <c r="AD194" s="13"/>
      <c r="AE194" s="13"/>
      <c r="AF194" s="13"/>
    </row>
    <row r="195" spans="1:32">
      <c r="A195" s="1" t="s">
        <v>420</v>
      </c>
      <c r="B195">
        <v>707.59136856608882</v>
      </c>
      <c r="C195">
        <v>172.23763933181988</v>
      </c>
      <c r="D195">
        <v>32242.175666666666</v>
      </c>
      <c r="E195">
        <v>50832.605333333333</v>
      </c>
      <c r="F195">
        <v>18590.429666666667</v>
      </c>
      <c r="G195">
        <v>0.62925170068027203</v>
      </c>
      <c r="H195">
        <v>6.1199850353259956E-2</v>
      </c>
      <c r="I195">
        <v>31.575706735315453</v>
      </c>
      <c r="J195">
        <v>18.640105254990203</v>
      </c>
      <c r="K195">
        <v>1</v>
      </c>
      <c r="L195">
        <f t="shared" si="12"/>
        <v>4.2692894274107358</v>
      </c>
      <c r="M195" t="s">
        <v>31</v>
      </c>
      <c r="N195">
        <v>598</v>
      </c>
      <c r="O195">
        <v>22</v>
      </c>
      <c r="P195">
        <v>1797</v>
      </c>
      <c r="Q195">
        <v>307.41058631233398</v>
      </c>
      <c r="R195">
        <v>387.994722177364</v>
      </c>
      <c r="S195" t="s">
        <v>421</v>
      </c>
      <c r="T195">
        <v>11</v>
      </c>
      <c r="U195">
        <v>1346.88380066119</v>
      </c>
      <c r="V195">
        <v>2.4381657891514599</v>
      </c>
      <c r="W195">
        <v>49664.82</v>
      </c>
      <c r="X195">
        <v>7.8122647414681796E-3</v>
      </c>
      <c r="Y195">
        <v>8.9804935455322266</v>
      </c>
      <c r="Z195">
        <v>6.3046164512634277</v>
      </c>
      <c r="AA195">
        <f t="shared" si="13"/>
        <v>0.87138180238773477</v>
      </c>
      <c r="AB195">
        <f t="shared" si="14"/>
        <v>-0.78748813491273617</v>
      </c>
      <c r="AC195" s="13">
        <f t="shared" si="15"/>
        <v>-0.15565589091026225</v>
      </c>
      <c r="AD195" s="13"/>
      <c r="AE195" s="13"/>
      <c r="AF195" s="13"/>
    </row>
    <row r="196" spans="1:32">
      <c r="A196" s="1" t="s">
        <v>422</v>
      </c>
      <c r="B196">
        <v>607.49274980234998</v>
      </c>
      <c r="C196">
        <v>58.890416228072738</v>
      </c>
      <c r="D196">
        <v>1066.8656000000001</v>
      </c>
      <c r="E196">
        <v>20411.664999999997</v>
      </c>
      <c r="F196">
        <v>19344.7994</v>
      </c>
      <c r="G196">
        <v>0.58173515981735158</v>
      </c>
      <c r="H196">
        <v>5.5248307600014722E-2</v>
      </c>
      <c r="I196">
        <v>9.0550889915954738</v>
      </c>
      <c r="J196">
        <v>1.5016958624948047</v>
      </c>
      <c r="K196">
        <v>1</v>
      </c>
      <c r="L196">
        <f t="shared" si="12"/>
        <v>4.2865642305718792</v>
      </c>
      <c r="M196" t="s">
        <v>31</v>
      </c>
      <c r="N196">
        <v>375</v>
      </c>
      <c r="O196">
        <v>5</v>
      </c>
      <c r="P196">
        <v>1128</v>
      </c>
      <c r="Q196">
        <v>111.30255149969</v>
      </c>
      <c r="R196">
        <v>140.479230285445</v>
      </c>
      <c r="S196" t="s">
        <v>423</v>
      </c>
      <c r="T196">
        <v>1</v>
      </c>
      <c r="U196">
        <v>122.44398187829</v>
      </c>
      <c r="V196">
        <v>0.97526631566058497</v>
      </c>
      <c r="W196">
        <v>22922.083999999999</v>
      </c>
      <c r="X196">
        <v>6.1285540304906599E-3</v>
      </c>
      <c r="Y196">
        <v>11.026950836181641</v>
      </c>
      <c r="Z196">
        <v>7.7306885719299316</v>
      </c>
      <c r="AA196">
        <f t="shared" si="13"/>
        <v>0.92115630105421709</v>
      </c>
      <c r="AB196">
        <f t="shared" si="14"/>
        <v>-0.78810093209379295</v>
      </c>
      <c r="AC196" s="13">
        <f t="shared" si="15"/>
        <v>-0.34592686026390579</v>
      </c>
      <c r="AD196" s="13"/>
      <c r="AE196" s="13"/>
      <c r="AF196" s="13"/>
    </row>
    <row r="197" spans="1:32">
      <c r="A197" s="1" t="s">
        <v>424</v>
      </c>
      <c r="B197">
        <v>525.82561434849072</v>
      </c>
      <c r="C197">
        <v>22.330060415996901</v>
      </c>
      <c r="D197">
        <v>25459.186333333335</v>
      </c>
      <c r="E197">
        <v>44846.046666666662</v>
      </c>
      <c r="F197">
        <v>19386.860333333334</v>
      </c>
      <c r="G197">
        <v>0.61891891891891893</v>
      </c>
      <c r="H197">
        <v>7.4836795579409907E-2</v>
      </c>
      <c r="I197">
        <v>49.441506154606508</v>
      </c>
      <c r="J197">
        <v>32.233420691091034</v>
      </c>
      <c r="K197">
        <v>1</v>
      </c>
      <c r="L197">
        <f t="shared" si="12"/>
        <v>4.2875074815741261</v>
      </c>
      <c r="M197" t="s">
        <v>31</v>
      </c>
      <c r="N197">
        <v>380</v>
      </c>
      <c r="O197">
        <v>22</v>
      </c>
      <c r="P197">
        <v>1143</v>
      </c>
      <c r="Q197">
        <v>483.30430761440402</v>
      </c>
      <c r="R197">
        <v>609.99695166467404</v>
      </c>
      <c r="S197" t="s">
        <v>425</v>
      </c>
      <c r="T197">
        <v>1</v>
      </c>
      <c r="U197">
        <v>122.44398187829</v>
      </c>
      <c r="V197">
        <v>0.221651435377405</v>
      </c>
      <c r="W197">
        <v>46287.64</v>
      </c>
      <c r="X197">
        <v>1.3178398200138801E-2</v>
      </c>
      <c r="Y197">
        <v>10.86070346832275</v>
      </c>
      <c r="Z197">
        <v>7.1631016731262207</v>
      </c>
      <c r="AA197">
        <f t="shared" si="13"/>
        <v>0.92393154743222361</v>
      </c>
      <c r="AB197">
        <f t="shared" si="14"/>
        <v>-0.78608401468050659</v>
      </c>
      <c r="AC197" s="13">
        <f t="shared" si="15"/>
        <v>1.5002434677153694E-2</v>
      </c>
      <c r="AD197" s="13"/>
      <c r="AE197" s="13"/>
      <c r="AF197" s="13"/>
    </row>
    <row r="198" spans="1:32">
      <c r="A198" s="1" t="s">
        <v>426</v>
      </c>
      <c r="B198">
        <v>6448.5021500646408</v>
      </c>
      <c r="C198">
        <v>57.120601917058693</v>
      </c>
      <c r="D198">
        <v>13209.407333333334</v>
      </c>
      <c r="E198">
        <v>32744.011666666662</v>
      </c>
      <c r="F198">
        <v>19534.604333333333</v>
      </c>
      <c r="G198">
        <v>0.72613065326633164</v>
      </c>
      <c r="H198">
        <v>6.1126764369595112E-2</v>
      </c>
      <c r="I198">
        <v>21.609431815375107</v>
      </c>
      <c r="J198">
        <v>7.4700005935618981</v>
      </c>
      <c r="K198">
        <v>1</v>
      </c>
      <c r="L198">
        <f t="shared" si="12"/>
        <v>4.2908046191650913</v>
      </c>
      <c r="M198" t="s">
        <v>31</v>
      </c>
      <c r="N198">
        <v>408</v>
      </c>
      <c r="O198">
        <v>6</v>
      </c>
      <c r="P198">
        <v>1227</v>
      </c>
      <c r="Q198">
        <v>122.78658004073399</v>
      </c>
      <c r="R198">
        <v>154.97366431489701</v>
      </c>
      <c r="S198" t="s">
        <v>427</v>
      </c>
      <c r="T198">
        <v>0</v>
      </c>
      <c r="U198">
        <v>0</v>
      </c>
      <c r="V198">
        <v>0</v>
      </c>
      <c r="W198">
        <v>31551.873</v>
      </c>
      <c r="X198">
        <v>4.9117104494841596E-3</v>
      </c>
      <c r="Y198">
        <v>10.617557525634769</v>
      </c>
      <c r="Z198">
        <v>7.6625747680664063</v>
      </c>
      <c r="AA198">
        <f t="shared" si="13"/>
        <v>0.93367992837333857</v>
      </c>
      <c r="AB198">
        <f t="shared" si="14"/>
        <v>-0.78749566016906403</v>
      </c>
      <c r="AC198" s="13">
        <f t="shared" si="15"/>
        <v>-0.33478464855046475</v>
      </c>
      <c r="AD198" s="13"/>
      <c r="AE198" s="13"/>
      <c r="AF198" s="13"/>
    </row>
    <row r="199" spans="1:32">
      <c r="A199" s="1" t="s">
        <v>428</v>
      </c>
      <c r="B199">
        <v>664.11084898559909</v>
      </c>
      <c r="C199">
        <v>46.689749294810127</v>
      </c>
      <c r="D199">
        <v>117737.43199999999</v>
      </c>
      <c r="E199">
        <v>137770.4</v>
      </c>
      <c r="F199">
        <v>20032.968000000004</v>
      </c>
      <c r="G199">
        <v>0.57971014492753625</v>
      </c>
      <c r="H199">
        <v>0.39406367177926621</v>
      </c>
      <c r="I199">
        <v>13.261792070164233</v>
      </c>
      <c r="J199">
        <v>2.5378032861280082</v>
      </c>
      <c r="K199">
        <v>1</v>
      </c>
      <c r="L199">
        <f t="shared" si="12"/>
        <v>4.3017452972981802</v>
      </c>
      <c r="M199" t="s">
        <v>31</v>
      </c>
      <c r="N199">
        <v>401</v>
      </c>
      <c r="O199">
        <v>219</v>
      </c>
      <c r="P199">
        <v>1206</v>
      </c>
      <c r="Q199">
        <v>4559.7499008410496</v>
      </c>
      <c r="R199">
        <v>5755.0356908580698</v>
      </c>
      <c r="S199" t="s">
        <v>429</v>
      </c>
      <c r="T199">
        <v>2</v>
      </c>
      <c r="U199">
        <v>244.887963756581</v>
      </c>
      <c r="V199">
        <v>4.45327084776522E-2</v>
      </c>
      <c r="W199">
        <v>133503.38</v>
      </c>
      <c r="X199">
        <v>4.3107790161253302E-2</v>
      </c>
      <c r="Y199">
        <v>9.3746471405029297</v>
      </c>
      <c r="Z199">
        <v>10.086947441101071</v>
      </c>
      <c r="AA199">
        <f t="shared" si="13"/>
        <v>0.96656274506895823</v>
      </c>
      <c r="AB199">
        <f t="shared" si="14"/>
        <v>-0.75321500273462505</v>
      </c>
      <c r="AC199" s="13">
        <f t="shared" si="15"/>
        <v>3.9701144997265874</v>
      </c>
      <c r="AD199" s="13"/>
      <c r="AE199" s="13"/>
      <c r="AF199" s="13"/>
    </row>
    <row r="200" spans="1:32">
      <c r="A200" s="1" t="s">
        <v>430</v>
      </c>
      <c r="B200">
        <v>6411.939295852786</v>
      </c>
      <c r="C200">
        <v>49.865654197840691</v>
      </c>
      <c r="D200">
        <v>32032.490666666668</v>
      </c>
      <c r="E200">
        <v>52176.91333333333</v>
      </c>
      <c r="F200">
        <v>20144.422666666665</v>
      </c>
      <c r="G200">
        <v>0.55267423014586714</v>
      </c>
      <c r="H200">
        <v>0.16478338548948099</v>
      </c>
      <c r="I200">
        <v>12.035550533719752</v>
      </c>
      <c r="J200">
        <v>4.114006971527461</v>
      </c>
      <c r="K200">
        <v>1</v>
      </c>
      <c r="L200">
        <f t="shared" si="12"/>
        <v>4.3041548251483821</v>
      </c>
      <c r="M200" t="s">
        <v>31</v>
      </c>
      <c r="N200">
        <v>627</v>
      </c>
      <c r="O200">
        <v>7</v>
      </c>
      <c r="P200">
        <v>1884</v>
      </c>
      <c r="Q200">
        <v>93.295641894008099</v>
      </c>
      <c r="R200">
        <v>117.752017232895</v>
      </c>
      <c r="S200" t="s">
        <v>431</v>
      </c>
      <c r="T200">
        <v>0</v>
      </c>
      <c r="U200">
        <v>0</v>
      </c>
      <c r="V200">
        <v>0</v>
      </c>
      <c r="W200">
        <v>57573.919999999998</v>
      </c>
      <c r="X200">
        <v>2.04523189028809E-3</v>
      </c>
      <c r="Y200">
        <v>8.5662775039672852</v>
      </c>
      <c r="Z200">
        <v>6.4812331199645996</v>
      </c>
      <c r="AA200">
        <f t="shared" si="13"/>
        <v>0.97391669885612808</v>
      </c>
      <c r="AB200">
        <f t="shared" si="14"/>
        <v>-0.77682271571520733</v>
      </c>
      <c r="AC200" s="13">
        <f t="shared" si="15"/>
        <v>-0.36339780248720543</v>
      </c>
      <c r="AD200" s="13"/>
      <c r="AE200" s="13"/>
      <c r="AF200" s="13"/>
    </row>
    <row r="201" spans="1:32">
      <c r="A201" s="1" t="s">
        <v>432</v>
      </c>
      <c r="B201">
        <v>4923.555079273402</v>
      </c>
      <c r="C201">
        <v>270.48690061390676</v>
      </c>
      <c r="D201">
        <v>82725.490000000005</v>
      </c>
      <c r="E201">
        <v>103245.19</v>
      </c>
      <c r="F201">
        <v>20519.699999999997</v>
      </c>
      <c r="G201">
        <v>0.69257340241796195</v>
      </c>
      <c r="H201">
        <v>5.1363734882474275E-2</v>
      </c>
      <c r="I201">
        <v>16.083458786261204</v>
      </c>
      <c r="J201">
        <v>3.5528615286765071</v>
      </c>
      <c r="K201">
        <v>1</v>
      </c>
      <c r="L201">
        <f t="shared" si="12"/>
        <v>4.3121710070588337</v>
      </c>
      <c r="M201" t="s">
        <v>31</v>
      </c>
      <c r="N201">
        <v>396</v>
      </c>
      <c r="O201">
        <v>4</v>
      </c>
      <c r="P201">
        <v>1191</v>
      </c>
      <c r="Q201">
        <v>84.332008793720206</v>
      </c>
      <c r="R201">
        <v>106.43867120872</v>
      </c>
      <c r="S201" t="s">
        <v>433</v>
      </c>
      <c r="T201">
        <v>2</v>
      </c>
      <c r="U201">
        <v>244.887963756581</v>
      </c>
      <c r="V201">
        <v>2.4381657891514599</v>
      </c>
      <c r="W201">
        <v>98069.16</v>
      </c>
      <c r="X201">
        <v>1.08534294786169E-3</v>
      </c>
      <c r="Y201">
        <v>10.72468852996826</v>
      </c>
      <c r="Z201">
        <v>7.7224392890930176</v>
      </c>
      <c r="AA201">
        <f t="shared" si="13"/>
        <v>0.99867808614697684</v>
      </c>
      <c r="AB201">
        <f t="shared" si="14"/>
        <v>-0.78850090489237878</v>
      </c>
      <c r="AC201" s="13">
        <f t="shared" si="15"/>
        <v>-0.37209463717096325</v>
      </c>
      <c r="AD201" s="13"/>
      <c r="AE201" s="13"/>
      <c r="AF201" s="13"/>
    </row>
    <row r="202" spans="1:32">
      <c r="A202" s="1" t="s">
        <v>434</v>
      </c>
      <c r="B202">
        <v>1971.2275996181736</v>
      </c>
      <c r="C202">
        <v>487.80462210666519</v>
      </c>
      <c r="D202">
        <v>20342.191999999999</v>
      </c>
      <c r="E202">
        <v>41329.508999999998</v>
      </c>
      <c r="F202">
        <v>20987.316999999999</v>
      </c>
      <c r="G202">
        <v>0.54712041884816753</v>
      </c>
      <c r="H202">
        <v>7.1503657764082157E-2</v>
      </c>
      <c r="I202">
        <v>26.481630007814573</v>
      </c>
      <c r="J202">
        <v>4.4228813303075913</v>
      </c>
      <c r="K202">
        <v>1</v>
      </c>
      <c r="L202">
        <f t="shared" si="12"/>
        <v>4.3219569223093366</v>
      </c>
      <c r="M202" t="s">
        <v>31</v>
      </c>
      <c r="N202">
        <v>392</v>
      </c>
      <c r="O202">
        <v>21</v>
      </c>
      <c r="P202">
        <v>1179</v>
      </c>
      <c r="Q202">
        <v>447.24933671325999</v>
      </c>
      <c r="R202">
        <v>564.49058642945397</v>
      </c>
      <c r="S202" t="s">
        <v>435</v>
      </c>
      <c r="T202">
        <v>2</v>
      </c>
      <c r="U202">
        <v>244.887963756581</v>
      </c>
      <c r="V202">
        <v>0.46441253126694498</v>
      </c>
      <c r="W202">
        <v>44547.38</v>
      </c>
      <c r="X202">
        <v>1.2671689927206801E-2</v>
      </c>
      <c r="Y202">
        <v>10.99786281585693</v>
      </c>
      <c r="Z202">
        <v>8.6407709121704102</v>
      </c>
      <c r="AA202">
        <f t="shared" si="13"/>
        <v>1.0295321895321663</v>
      </c>
      <c r="AB202">
        <f t="shared" si="14"/>
        <v>-0.78642720930112708</v>
      </c>
      <c r="AC202" s="13">
        <f t="shared" si="15"/>
        <v>-1.9979376598106599E-2</v>
      </c>
      <c r="AD202" s="13"/>
      <c r="AE202" s="13"/>
      <c r="AF202" s="13"/>
    </row>
    <row r="203" spans="1:32">
      <c r="A203" s="1" t="s">
        <v>436</v>
      </c>
      <c r="B203">
        <v>6499.6346517659649</v>
      </c>
      <c r="C203">
        <v>39.939992273958175</v>
      </c>
      <c r="D203">
        <v>203.46662333333333</v>
      </c>
      <c r="E203">
        <v>21278.718000000001</v>
      </c>
      <c r="F203">
        <v>21075.251376666667</v>
      </c>
      <c r="G203">
        <v>0.66083576287657919</v>
      </c>
      <c r="H203">
        <v>4.1952619909054141E-2</v>
      </c>
      <c r="I203">
        <v>39.064805995920359</v>
      </c>
      <c r="J203">
        <v>19.902167644158922</v>
      </c>
      <c r="K203">
        <v>1</v>
      </c>
      <c r="L203">
        <f t="shared" si="12"/>
        <v>4.3237727634081979</v>
      </c>
      <c r="M203" t="s">
        <v>31</v>
      </c>
      <c r="N203">
        <v>353</v>
      </c>
      <c r="O203">
        <v>18</v>
      </c>
      <c r="P203">
        <v>1062</v>
      </c>
      <c r="Q203">
        <v>425.59077319203698</v>
      </c>
      <c r="R203">
        <v>537.15448054909302</v>
      </c>
      <c r="S203" t="s">
        <v>437</v>
      </c>
      <c r="T203">
        <v>1</v>
      </c>
      <c r="U203">
        <v>122.44398187829</v>
      </c>
      <c r="V203">
        <v>0.27090730990571799</v>
      </c>
      <c r="W203">
        <v>21397.623</v>
      </c>
      <c r="X203">
        <v>2.5103465022684599E-2</v>
      </c>
      <c r="Y203">
        <v>10.92409133911133</v>
      </c>
      <c r="Z203">
        <v>10.428266525268549</v>
      </c>
      <c r="AA203">
        <f t="shared" si="13"/>
        <v>1.0353342376800856</v>
      </c>
      <c r="AB203">
        <f t="shared" si="14"/>
        <v>-0.78946991493992802</v>
      </c>
      <c r="AC203" s="13">
        <f t="shared" si="15"/>
        <v>-4.0993282937679322E-2</v>
      </c>
      <c r="AD203" s="13"/>
      <c r="AE203" s="13"/>
      <c r="AF203" s="13"/>
    </row>
    <row r="204" spans="1:32">
      <c r="A204" s="1" t="s">
        <v>438</v>
      </c>
      <c r="B204">
        <v>391.82946373425602</v>
      </c>
      <c r="C204">
        <v>31.314578606095324</v>
      </c>
      <c r="D204">
        <v>52737.53833333333</v>
      </c>
      <c r="E204">
        <v>74127.234666666671</v>
      </c>
      <c r="F204">
        <v>21389.696333333337</v>
      </c>
      <c r="G204">
        <v>0.47022428460943544</v>
      </c>
      <c r="H204">
        <v>0.2326567722949052</v>
      </c>
      <c r="I204">
        <v>37.173289170192575</v>
      </c>
      <c r="J204">
        <v>24.407705567317642</v>
      </c>
      <c r="K204">
        <v>1</v>
      </c>
      <c r="L204">
        <f t="shared" si="12"/>
        <v>4.3302046189944443</v>
      </c>
      <c r="M204" t="s">
        <v>31</v>
      </c>
      <c r="N204">
        <v>441</v>
      </c>
      <c r="O204">
        <v>25</v>
      </c>
      <c r="P204">
        <v>1326</v>
      </c>
      <c r="Q204">
        <v>473.41356746474702</v>
      </c>
      <c r="R204">
        <v>597.51346818243701</v>
      </c>
      <c r="S204" t="s">
        <v>439</v>
      </c>
      <c r="T204">
        <v>5</v>
      </c>
      <c r="U204">
        <v>612.21990939145303</v>
      </c>
      <c r="V204">
        <v>0.97526631566058497</v>
      </c>
      <c r="W204">
        <v>72319.56</v>
      </c>
      <c r="X204">
        <v>8.2621280906913404E-3</v>
      </c>
      <c r="Y204">
        <v>8.8070049285888672</v>
      </c>
      <c r="Z204">
        <v>7.12017822265625</v>
      </c>
      <c r="AA204">
        <f t="shared" si="13"/>
        <v>1.0560818093080309</v>
      </c>
      <c r="AB204">
        <f t="shared" si="14"/>
        <v>-0.76983417142886035</v>
      </c>
      <c r="AC204" s="13">
        <f t="shared" si="15"/>
        <v>5.4060878589411027E-3</v>
      </c>
      <c r="AD204" s="13"/>
      <c r="AE204" s="13"/>
      <c r="AF204" s="13"/>
    </row>
    <row r="205" spans="1:32">
      <c r="A205" s="1" t="s">
        <v>440</v>
      </c>
      <c r="B205">
        <v>189.78521721647394</v>
      </c>
      <c r="C205">
        <v>15.551611281739351</v>
      </c>
      <c r="D205">
        <v>5262.1001666666671</v>
      </c>
      <c r="E205">
        <v>26721.025999999998</v>
      </c>
      <c r="F205">
        <v>21458.925833333331</v>
      </c>
      <c r="G205">
        <v>0.58458458458458462</v>
      </c>
      <c r="H205">
        <v>9.6384675072302708E-2</v>
      </c>
      <c r="I205">
        <v>9.8025519579716143</v>
      </c>
      <c r="J205">
        <v>2.6184632123361316</v>
      </c>
      <c r="K205">
        <v>1</v>
      </c>
      <c r="L205">
        <f t="shared" si="12"/>
        <v>4.3316079787514763</v>
      </c>
      <c r="M205" t="s">
        <v>31</v>
      </c>
      <c r="N205">
        <v>343</v>
      </c>
      <c r="O205" s="13"/>
      <c r="Y205">
        <v>8.6778955459594727</v>
      </c>
      <c r="Z205">
        <v>11.39217472076416</v>
      </c>
      <c r="AA205">
        <f t="shared" si="13"/>
        <v>1.0606496803441667</v>
      </c>
      <c r="AB205">
        <f t="shared" si="14"/>
        <v>-0.78386534964549592</v>
      </c>
      <c r="AC205" s="13">
        <f t="shared" si="15"/>
        <v>-0.45391654251028785</v>
      </c>
      <c r="AD205" s="13"/>
      <c r="AE205" s="13"/>
      <c r="AF205" s="13"/>
    </row>
    <row r="206" spans="1:32">
      <c r="A206" s="1" t="s">
        <v>441</v>
      </c>
      <c r="B206">
        <v>292.68255545304817</v>
      </c>
      <c r="C206">
        <v>22.239153375677713</v>
      </c>
      <c r="D206">
        <v>1173.6719666666665</v>
      </c>
      <c r="E206">
        <v>22744.702666666664</v>
      </c>
      <c r="F206">
        <v>21571.030699999999</v>
      </c>
      <c r="G206">
        <v>0.60944595821980019</v>
      </c>
      <c r="H206">
        <v>5.4072826227460354E-2</v>
      </c>
      <c r="I206">
        <v>17.13412641010952</v>
      </c>
      <c r="J206">
        <v>4.7268632795280299</v>
      </c>
      <c r="K206">
        <v>1</v>
      </c>
      <c r="L206">
        <f t="shared" si="12"/>
        <v>4.3338708969165518</v>
      </c>
      <c r="M206" t="s">
        <v>31</v>
      </c>
      <c r="N206">
        <v>377</v>
      </c>
      <c r="O206">
        <v>7</v>
      </c>
      <c r="P206">
        <v>1134</v>
      </c>
      <c r="Q206">
        <v>154.99910875512401</v>
      </c>
      <c r="R206">
        <v>195.63033550861999</v>
      </c>
      <c r="S206" t="s">
        <v>442</v>
      </c>
      <c r="T206">
        <v>0</v>
      </c>
      <c r="U206">
        <v>0</v>
      </c>
      <c r="V206">
        <v>0</v>
      </c>
      <c r="W206">
        <v>25503.162</v>
      </c>
      <c r="X206">
        <v>7.6708266805747601E-3</v>
      </c>
      <c r="Y206">
        <v>11.6403694152832</v>
      </c>
      <c r="Z206">
        <v>7.7679643630981454</v>
      </c>
      <c r="AA206">
        <f t="shared" si="13"/>
        <v>1.0680465353475483</v>
      </c>
      <c r="AB206">
        <f t="shared" si="14"/>
        <v>-0.78822196485812845</v>
      </c>
      <c r="AC206" s="13">
        <f t="shared" si="15"/>
        <v>-0.3035309109375483</v>
      </c>
      <c r="AD206" s="13"/>
      <c r="AE206" s="13"/>
      <c r="AF206" s="13"/>
    </row>
    <row r="207" spans="1:32">
      <c r="A207" s="1" t="s">
        <v>443</v>
      </c>
      <c r="B207">
        <v>5247.8394598102186</v>
      </c>
      <c r="C207">
        <v>577.37381865235272</v>
      </c>
      <c r="D207">
        <v>863.529</v>
      </c>
      <c r="E207">
        <v>22554.792333333335</v>
      </c>
      <c r="F207">
        <v>21691.263333333332</v>
      </c>
      <c r="G207">
        <v>0.54637281910009183</v>
      </c>
      <c r="H207">
        <v>3.8512697082001425E-2</v>
      </c>
      <c r="I207">
        <v>3.2533994908547208</v>
      </c>
      <c r="J207">
        <v>0.40880573980027141</v>
      </c>
      <c r="K207">
        <v>1</v>
      </c>
      <c r="L207">
        <f t="shared" si="12"/>
        <v>4.3362848467453041</v>
      </c>
      <c r="M207" t="s">
        <v>31</v>
      </c>
      <c r="N207">
        <v>373</v>
      </c>
      <c r="O207">
        <v>0</v>
      </c>
      <c r="P207">
        <v>1122</v>
      </c>
      <c r="Q207">
        <v>0</v>
      </c>
      <c r="R207">
        <v>0</v>
      </c>
      <c r="S207" t="s">
        <v>444</v>
      </c>
      <c r="T207">
        <v>1</v>
      </c>
      <c r="U207">
        <v>122.44398187829</v>
      </c>
      <c r="W207">
        <v>23080.98</v>
      </c>
      <c r="X207">
        <v>0</v>
      </c>
      <c r="Y207">
        <v>11.24495887756348</v>
      </c>
      <c r="Z207">
        <v>7.5291934013366699</v>
      </c>
      <c r="AA207">
        <f t="shared" si="13"/>
        <v>1.0759796731486553</v>
      </c>
      <c r="AB207">
        <f t="shared" si="14"/>
        <v>-0.78982410461794406</v>
      </c>
      <c r="AC207" s="13">
        <f t="shared" si="15"/>
        <v>-0.45391654251028785</v>
      </c>
      <c r="AD207" s="13"/>
      <c r="AE207" s="13"/>
      <c r="AF207" s="13"/>
    </row>
    <row r="208" spans="1:32">
      <c r="A208" s="1" t="s">
        <v>445</v>
      </c>
      <c r="B208">
        <v>684.25237747475819</v>
      </c>
      <c r="C208">
        <v>111.18943609199208</v>
      </c>
      <c r="D208">
        <v>15305.548666666667</v>
      </c>
      <c r="E208">
        <v>37271.862666666661</v>
      </c>
      <c r="F208">
        <v>21966.314000000002</v>
      </c>
      <c r="G208">
        <v>0.61025641025641031</v>
      </c>
      <c r="H208">
        <v>4.641982522484378E-2</v>
      </c>
      <c r="I208">
        <v>2.1106893814283487</v>
      </c>
      <c r="J208">
        <v>1.2918121806671923</v>
      </c>
      <c r="K208">
        <v>1</v>
      </c>
      <c r="L208">
        <f t="shared" si="12"/>
        <v>4.3417571873819298</v>
      </c>
      <c r="M208" t="s">
        <v>31</v>
      </c>
      <c r="N208">
        <v>400</v>
      </c>
      <c r="O208">
        <v>46</v>
      </c>
      <c r="P208">
        <v>1203</v>
      </c>
      <c r="Q208">
        <v>960.14410510655705</v>
      </c>
      <c r="R208">
        <v>1211.83479651723</v>
      </c>
      <c r="S208" t="s">
        <v>446</v>
      </c>
      <c r="T208">
        <v>4</v>
      </c>
      <c r="U208">
        <v>489.775927513162</v>
      </c>
      <c r="V208">
        <v>0.42402883289590598</v>
      </c>
      <c r="W208">
        <v>52000.722999999998</v>
      </c>
      <c r="X208">
        <v>2.3304191299748599E-2</v>
      </c>
      <c r="Y208">
        <v>11.46027278900146</v>
      </c>
      <c r="Z208">
        <v>7.3426146507263184</v>
      </c>
      <c r="AA208">
        <f t="shared" si="13"/>
        <v>1.0941279477098851</v>
      </c>
      <c r="AB208">
        <f t="shared" si="14"/>
        <v>-0.78900995171052424</v>
      </c>
      <c r="AC208" s="13">
        <f t="shared" si="15"/>
        <v>0.47764931491287038</v>
      </c>
      <c r="AD208" s="13"/>
      <c r="AE208" s="13"/>
      <c r="AF208" s="13"/>
    </row>
    <row r="209" spans="1:32">
      <c r="A209" s="1" t="s">
        <v>447</v>
      </c>
      <c r="B209">
        <v>6218.7629892328268</v>
      </c>
      <c r="C209">
        <v>99.003471373495032</v>
      </c>
      <c r="D209">
        <v>68986.355333333326</v>
      </c>
      <c r="E209">
        <v>91040.106666666674</v>
      </c>
      <c r="F209">
        <v>22053.751333333334</v>
      </c>
      <c r="G209">
        <v>0.65770609318996409</v>
      </c>
      <c r="H209">
        <v>4.7172338723267648E-2</v>
      </c>
      <c r="I209">
        <v>24.083396425766249</v>
      </c>
      <c r="J209">
        <v>8.1122622173468386</v>
      </c>
      <c r="K209">
        <v>1</v>
      </c>
      <c r="L209">
        <f t="shared" si="12"/>
        <v>4.3434824733864836</v>
      </c>
      <c r="M209" t="s">
        <v>31</v>
      </c>
      <c r="N209">
        <v>382</v>
      </c>
      <c r="O209">
        <v>7</v>
      </c>
      <c r="P209">
        <v>1149</v>
      </c>
      <c r="Q209">
        <v>152.97562169565799</v>
      </c>
      <c r="R209">
        <v>193.07641467952601</v>
      </c>
      <c r="S209" t="s">
        <v>448</v>
      </c>
      <c r="T209">
        <v>2</v>
      </c>
      <c r="U209">
        <v>244.887963756581</v>
      </c>
      <c r="V209">
        <v>1.3932375938008299</v>
      </c>
      <c r="W209">
        <v>89475.66</v>
      </c>
      <c r="X209">
        <v>2.15786521920627E-3</v>
      </c>
      <c r="Y209">
        <v>8.2685775756835938</v>
      </c>
      <c r="Z209">
        <v>11.899144172668461</v>
      </c>
      <c r="AA209">
        <f t="shared" si="13"/>
        <v>1.0998972001587739</v>
      </c>
      <c r="AB209">
        <f t="shared" si="14"/>
        <v>-0.78893246959039831</v>
      </c>
      <c r="AC209" s="13">
        <f t="shared" si="15"/>
        <v>-0.30549416983536437</v>
      </c>
      <c r="AD209" s="13"/>
      <c r="AE209" s="13"/>
      <c r="AF209" s="13"/>
    </row>
    <row r="210" spans="1:32">
      <c r="A210" s="1" t="s">
        <v>449</v>
      </c>
      <c r="B210">
        <v>5646.7717546854437</v>
      </c>
      <c r="C210">
        <v>378.05967764769269</v>
      </c>
      <c r="D210">
        <v>8745.1855333333333</v>
      </c>
      <c r="E210">
        <v>31756.907999999999</v>
      </c>
      <c r="F210">
        <v>23011.72246666667</v>
      </c>
      <c r="G210">
        <v>0.65231259968102073</v>
      </c>
      <c r="H210">
        <v>5.3865714147266146E-2</v>
      </c>
      <c r="I210">
        <v>7.3433221672543722E-2</v>
      </c>
      <c r="J210">
        <v>3.9990295944681314E-2</v>
      </c>
      <c r="K210">
        <v>1</v>
      </c>
      <c r="L210">
        <f t="shared" si="12"/>
        <v>4.3619491275678701</v>
      </c>
      <c r="M210" t="s">
        <v>31</v>
      </c>
      <c r="N210">
        <v>428</v>
      </c>
      <c r="O210">
        <v>4</v>
      </c>
      <c r="P210">
        <v>1287</v>
      </c>
      <c r="Q210">
        <v>78.041509303279497</v>
      </c>
      <c r="R210">
        <v>98.499189906438204</v>
      </c>
      <c r="S210" t="s">
        <v>450</v>
      </c>
      <c r="T210">
        <v>1</v>
      </c>
      <c r="U210">
        <v>122.44398187829</v>
      </c>
      <c r="V210">
        <v>1.2190828945757299</v>
      </c>
      <c r="W210">
        <v>33206.855000000003</v>
      </c>
      <c r="X210">
        <v>2.9662306143246001E-3</v>
      </c>
      <c r="Y210">
        <v>10.64435386657715</v>
      </c>
      <c r="Z210">
        <v>6.669832706451416</v>
      </c>
      <c r="AA210">
        <f t="shared" si="13"/>
        <v>1.163105638662707</v>
      </c>
      <c r="AB210">
        <f t="shared" si="14"/>
        <v>-0.78824329003450166</v>
      </c>
      <c r="AC210" s="13">
        <f t="shared" si="15"/>
        <v>-0.37819790283729982</v>
      </c>
      <c r="AD210" s="13"/>
      <c r="AE210" s="13"/>
      <c r="AF210" s="13"/>
    </row>
    <row r="211" spans="1:32">
      <c r="A211" s="1" t="s">
        <v>451</v>
      </c>
      <c r="B211">
        <v>786.05055286777042</v>
      </c>
      <c r="C211">
        <v>171.8190198300768</v>
      </c>
      <c r="D211">
        <v>52971.58666666667</v>
      </c>
      <c r="E211">
        <v>76089.641666666663</v>
      </c>
      <c r="F211">
        <v>23118.054999999997</v>
      </c>
      <c r="G211">
        <v>0.63026819923371646</v>
      </c>
      <c r="H211">
        <v>0.60132427500404873</v>
      </c>
      <c r="I211">
        <v>2.5098380981811377</v>
      </c>
      <c r="J211">
        <v>1.1400312688064294</v>
      </c>
      <c r="K211">
        <v>0.99999999918308791</v>
      </c>
      <c r="L211">
        <f t="shared" si="12"/>
        <v>4.3639512926247823</v>
      </c>
      <c r="M211" t="s">
        <v>31</v>
      </c>
      <c r="N211">
        <v>358</v>
      </c>
      <c r="O211">
        <v>2</v>
      </c>
      <c r="P211">
        <v>1077</v>
      </c>
      <c r="Q211">
        <v>46.62925834416</v>
      </c>
      <c r="R211">
        <v>58.8525800415905</v>
      </c>
      <c r="S211" t="s">
        <v>452</v>
      </c>
      <c r="T211">
        <v>1</v>
      </c>
      <c r="U211">
        <v>122.44398187829</v>
      </c>
      <c r="V211">
        <v>2.4381657891514599</v>
      </c>
      <c r="W211">
        <v>75064.34</v>
      </c>
      <c r="X211">
        <v>7.8402847532650698E-4</v>
      </c>
      <c r="Y211">
        <v>11.56937789916992</v>
      </c>
      <c r="Z211">
        <v>6.9212751388549796</v>
      </c>
      <c r="AA211">
        <f t="shared" si="13"/>
        <v>1.1701216260555427</v>
      </c>
      <c r="AB211">
        <f t="shared" si="14"/>
        <v>-0.73187453377285461</v>
      </c>
      <c r="AC211" s="13">
        <f t="shared" si="15"/>
        <v>-0.40867518259425467</v>
      </c>
      <c r="AD211" s="13"/>
      <c r="AE211" s="13"/>
      <c r="AF211" s="13"/>
    </row>
    <row r="212" spans="1:32">
      <c r="A212" s="1" t="s">
        <v>453</v>
      </c>
      <c r="B212">
        <v>6366.6055400544064</v>
      </c>
      <c r="C212">
        <v>75.699834154891732</v>
      </c>
      <c r="D212">
        <v>5019.5475666666671</v>
      </c>
      <c r="E212">
        <v>28288.429000000004</v>
      </c>
      <c r="F212">
        <v>23268.881433333332</v>
      </c>
      <c r="G212">
        <v>0.65588499550763701</v>
      </c>
      <c r="H212">
        <v>4.6200691992035726E-2</v>
      </c>
      <c r="I212">
        <v>17.782845142602859</v>
      </c>
      <c r="J212">
        <v>3.8946808247621316</v>
      </c>
      <c r="K212">
        <v>1</v>
      </c>
      <c r="L212">
        <f t="shared" si="12"/>
        <v>4.366775506664168</v>
      </c>
      <c r="M212" t="s">
        <v>31</v>
      </c>
      <c r="N212">
        <v>381</v>
      </c>
      <c r="O212">
        <v>21</v>
      </c>
      <c r="P212">
        <v>1146</v>
      </c>
      <c r="Q212">
        <v>460.12824431495102</v>
      </c>
      <c r="R212">
        <v>580.74555096014501</v>
      </c>
      <c r="S212" t="s">
        <v>454</v>
      </c>
      <c r="T212">
        <v>1</v>
      </c>
      <c r="U212">
        <v>122.44398187829</v>
      </c>
      <c r="V212">
        <v>0.23220626563347199</v>
      </c>
      <c r="W212">
        <v>30209.307000000001</v>
      </c>
      <c r="X212">
        <v>1.9224060683025401E-2</v>
      </c>
      <c r="Y212">
        <v>9.1088685989379883</v>
      </c>
      <c r="Z212">
        <v>10.293722152709959</v>
      </c>
      <c r="AA212">
        <f t="shared" si="13"/>
        <v>1.180073390784554</v>
      </c>
      <c r="AB212">
        <f t="shared" si="14"/>
        <v>-0.78903251463797142</v>
      </c>
      <c r="AC212" s="13">
        <f t="shared" si="15"/>
        <v>-7.4838037577031873E-3</v>
      </c>
      <c r="AD212" s="13"/>
      <c r="AE212" s="13"/>
      <c r="AF212" s="13"/>
    </row>
    <row r="213" spans="1:32">
      <c r="A213" s="1" t="s">
        <v>455</v>
      </c>
      <c r="B213">
        <v>6488.6098714755499</v>
      </c>
      <c r="C213">
        <v>69.106911782143968</v>
      </c>
      <c r="D213">
        <v>1574.3911233333336</v>
      </c>
      <c r="E213">
        <v>26498.12566666667</v>
      </c>
      <c r="F213">
        <v>24923.734543333336</v>
      </c>
      <c r="G213">
        <v>0.58739255014326641</v>
      </c>
      <c r="H213">
        <v>4.4877318628446961E-2</v>
      </c>
      <c r="I213">
        <v>8.6931394174918122</v>
      </c>
      <c r="J213">
        <v>0.7832116706365635</v>
      </c>
      <c r="K213">
        <v>1</v>
      </c>
      <c r="L213">
        <f t="shared" si="12"/>
        <v>4.3966131170419018</v>
      </c>
      <c r="M213" t="s">
        <v>31</v>
      </c>
      <c r="N213">
        <v>359</v>
      </c>
      <c r="O213">
        <v>17</v>
      </c>
      <c r="P213">
        <v>1080</v>
      </c>
      <c r="Q213">
        <v>395.24772732556698</v>
      </c>
      <c r="R213">
        <v>498.85735554698101</v>
      </c>
      <c r="S213" t="s">
        <v>456</v>
      </c>
      <c r="T213">
        <v>3</v>
      </c>
      <c r="U213">
        <v>367.331945634872</v>
      </c>
      <c r="V213">
        <v>0.86052910205345701</v>
      </c>
      <c r="W213">
        <v>30468.717000000001</v>
      </c>
      <c r="X213">
        <v>1.6372771966308299E-2</v>
      </c>
      <c r="Y213">
        <v>10.16384696960449</v>
      </c>
      <c r="Z213">
        <v>10.2074031829834</v>
      </c>
      <c r="AA213">
        <f t="shared" si="13"/>
        <v>1.2892631955676188</v>
      </c>
      <c r="AB213">
        <f t="shared" si="14"/>
        <v>-0.78916877501621552</v>
      </c>
      <c r="AC213" s="13">
        <f t="shared" si="15"/>
        <v>-7.0433181999801156E-2</v>
      </c>
      <c r="AD213" s="13"/>
      <c r="AE213" s="13"/>
      <c r="AF213" s="13"/>
    </row>
    <row r="214" spans="1:32">
      <c r="A214" s="1" t="s">
        <v>457</v>
      </c>
      <c r="B214">
        <v>423.70200244658355</v>
      </c>
      <c r="C214">
        <v>19.950878838464277</v>
      </c>
      <c r="D214">
        <v>10867.012166666667</v>
      </c>
      <c r="E214">
        <v>35935.075666666664</v>
      </c>
      <c r="F214">
        <v>25068.0635</v>
      </c>
      <c r="G214">
        <v>0.69981583793738489</v>
      </c>
      <c r="H214">
        <v>5.4644626399456879E-2</v>
      </c>
      <c r="I214">
        <v>15.460420932725205</v>
      </c>
      <c r="J214">
        <v>3.7923491626362309</v>
      </c>
      <c r="K214">
        <v>1</v>
      </c>
      <c r="L214">
        <f t="shared" si="12"/>
        <v>4.399120786142209</v>
      </c>
      <c r="M214" t="s">
        <v>31</v>
      </c>
      <c r="N214">
        <v>372</v>
      </c>
      <c r="O214">
        <v>18</v>
      </c>
      <c r="P214">
        <v>1119</v>
      </c>
      <c r="Q214">
        <v>403.91188662193298</v>
      </c>
      <c r="R214">
        <v>509.79272416723501</v>
      </c>
      <c r="S214" t="s">
        <v>458</v>
      </c>
      <c r="T214">
        <v>1</v>
      </c>
      <c r="U214">
        <v>122.44398187829</v>
      </c>
      <c r="V214">
        <v>0.27090730990571799</v>
      </c>
      <c r="W214">
        <v>35451.19</v>
      </c>
      <c r="X214">
        <v>1.4380130093439299E-2</v>
      </c>
      <c r="Y214">
        <v>9.1973724365234375</v>
      </c>
      <c r="Z214">
        <v>10.308558464050289</v>
      </c>
      <c r="AA214">
        <f t="shared" si="13"/>
        <v>1.2987862465911482</v>
      </c>
      <c r="AB214">
        <f t="shared" si="14"/>
        <v>-0.78816308978185756</v>
      </c>
      <c r="AC214" s="13">
        <f t="shared" si="15"/>
        <v>-6.2026907419930388E-2</v>
      </c>
      <c r="AD214" s="13"/>
      <c r="AE214" s="13"/>
      <c r="AF214" s="13"/>
    </row>
    <row r="215" spans="1:32">
      <c r="A215" s="1" t="s">
        <v>459</v>
      </c>
      <c r="B215">
        <v>2426.228193296</v>
      </c>
      <c r="C215">
        <v>115.39189252987488</v>
      </c>
      <c r="D215">
        <v>62934.51</v>
      </c>
      <c r="E215">
        <v>88111.096666666665</v>
      </c>
      <c r="F215">
        <v>25176.58666666667</v>
      </c>
      <c r="G215">
        <v>0.7266495287060839</v>
      </c>
      <c r="H215">
        <v>6.4993686597985156E-2</v>
      </c>
      <c r="I215">
        <v>7.2031698908658193</v>
      </c>
      <c r="J215">
        <v>2.9821744914780348</v>
      </c>
      <c r="K215">
        <v>1</v>
      </c>
      <c r="L215">
        <f t="shared" si="12"/>
        <v>4.400996849984903</v>
      </c>
      <c r="M215" t="s">
        <v>31</v>
      </c>
      <c r="N215">
        <v>399</v>
      </c>
      <c r="O215">
        <v>21</v>
      </c>
      <c r="P215">
        <v>1200</v>
      </c>
      <c r="Q215">
        <v>439.42247332077801</v>
      </c>
      <c r="R215">
        <v>554.61200116693794</v>
      </c>
      <c r="S215" t="s">
        <v>460</v>
      </c>
      <c r="T215">
        <v>0</v>
      </c>
      <c r="U215">
        <v>0</v>
      </c>
      <c r="V215">
        <v>0</v>
      </c>
      <c r="W215">
        <v>94795.49</v>
      </c>
      <c r="X215">
        <v>5.8506159013149098E-3</v>
      </c>
      <c r="Y215">
        <v>10.47849178314209</v>
      </c>
      <c r="Z215">
        <v>7.9878191947937012</v>
      </c>
      <c r="AA215">
        <f t="shared" si="13"/>
        <v>1.3059467754085814</v>
      </c>
      <c r="AB215">
        <f t="shared" si="14"/>
        <v>-0.78709750474295526</v>
      </c>
      <c r="AC215" s="13">
        <f t="shared" si="15"/>
        <v>-2.7573277001569703E-2</v>
      </c>
      <c r="AD215" s="13"/>
      <c r="AE215" s="13"/>
      <c r="AF215" s="13"/>
    </row>
    <row r="216" spans="1:32">
      <c r="A216" s="1" t="s">
        <v>461</v>
      </c>
      <c r="B216">
        <v>630.1835896614939</v>
      </c>
      <c r="C216">
        <v>73.788116401855305</v>
      </c>
      <c r="D216">
        <v>25732.813666666669</v>
      </c>
      <c r="E216">
        <v>51297.606666666667</v>
      </c>
      <c r="F216">
        <v>25564.793000000001</v>
      </c>
      <c r="G216">
        <v>0.61111111111111116</v>
      </c>
      <c r="H216">
        <v>5.943329078479842E-2</v>
      </c>
      <c r="I216">
        <v>3.2056362766436544</v>
      </c>
      <c r="J216">
        <v>1.8513675016283302</v>
      </c>
      <c r="K216">
        <v>1</v>
      </c>
      <c r="L216">
        <f t="shared" si="12"/>
        <v>4.4076422805625866</v>
      </c>
      <c r="M216" t="s">
        <v>31</v>
      </c>
      <c r="N216">
        <v>382</v>
      </c>
      <c r="O216">
        <v>2</v>
      </c>
      <c r="P216">
        <v>1149</v>
      </c>
      <c r="Q216">
        <v>43.707320484473797</v>
      </c>
      <c r="R216">
        <v>55.164689908436003</v>
      </c>
      <c r="S216" t="s">
        <v>462</v>
      </c>
      <c r="T216">
        <v>2</v>
      </c>
      <c r="U216">
        <v>244.887963756581</v>
      </c>
      <c r="V216">
        <v>4.8763315783029197</v>
      </c>
      <c r="W216">
        <v>52708.836000000003</v>
      </c>
      <c r="X216">
        <v>1.04659283138857E-3</v>
      </c>
      <c r="Y216">
        <v>8.8142690658569336</v>
      </c>
      <c r="Z216">
        <v>11.10507869720459</v>
      </c>
      <c r="AA216">
        <f t="shared" si="13"/>
        <v>1.3315612384059743</v>
      </c>
      <c r="AB216">
        <f t="shared" si="14"/>
        <v>-0.78767002770400141</v>
      </c>
      <c r="AC216" s="13">
        <f t="shared" si="15"/>
        <v>-0.41151015031745247</v>
      </c>
      <c r="AD216" s="13"/>
      <c r="AE216" s="13"/>
      <c r="AF216" s="13"/>
    </row>
    <row r="217" spans="1:32">
      <c r="A217" s="1" t="s">
        <v>463</v>
      </c>
      <c r="B217">
        <v>746.74800346052041</v>
      </c>
      <c r="C217">
        <v>64.498458511210544</v>
      </c>
      <c r="D217">
        <v>1226.7609466666665</v>
      </c>
      <c r="E217">
        <v>26845.592999999997</v>
      </c>
      <c r="F217">
        <v>25618.832053333332</v>
      </c>
      <c r="G217">
        <v>0.52815013404825739</v>
      </c>
      <c r="H217">
        <v>0.10202156132818163</v>
      </c>
      <c r="I217">
        <v>0.38978648207283872</v>
      </c>
      <c r="J217">
        <v>0.13280990359350556</v>
      </c>
      <c r="K217">
        <v>1</v>
      </c>
      <c r="L217">
        <f t="shared" si="12"/>
        <v>4.4085593266438536</v>
      </c>
      <c r="M217" t="s">
        <v>31</v>
      </c>
      <c r="N217">
        <v>383</v>
      </c>
      <c r="O217">
        <v>102</v>
      </c>
      <c r="P217">
        <v>1152</v>
      </c>
      <c r="Q217">
        <v>2223.2684662063102</v>
      </c>
      <c r="R217">
        <v>2806.0726249517702</v>
      </c>
      <c r="S217" t="s">
        <v>464</v>
      </c>
      <c r="T217">
        <v>0</v>
      </c>
      <c r="U217">
        <v>0</v>
      </c>
      <c r="V217">
        <v>0</v>
      </c>
      <c r="W217">
        <v>26479.190999999999</v>
      </c>
      <c r="X217">
        <v>0.105972747617243</v>
      </c>
      <c r="Y217">
        <v>8.4907407760620117</v>
      </c>
      <c r="Z217">
        <v>11.408821105957029</v>
      </c>
      <c r="AA217">
        <f t="shared" si="13"/>
        <v>1.3351268199361248</v>
      </c>
      <c r="AB217">
        <f t="shared" si="14"/>
        <v>-0.78328495088995354</v>
      </c>
      <c r="AC217" s="13">
        <f t="shared" si="15"/>
        <v>1.7031773603611959</v>
      </c>
      <c r="AD217" s="13"/>
      <c r="AE217" s="13"/>
      <c r="AF217" s="13"/>
    </row>
    <row r="218" spans="1:32">
      <c r="A218" s="1" t="s">
        <v>465</v>
      </c>
      <c r="B218">
        <v>261.46100275498924</v>
      </c>
      <c r="C218">
        <v>14.137080684206603</v>
      </c>
      <c r="D218">
        <v>3453.5014333333334</v>
      </c>
      <c r="E218">
        <v>30845.825666666668</v>
      </c>
      <c r="F218">
        <v>27392.324233333333</v>
      </c>
      <c r="G218">
        <v>0.57051282051282048</v>
      </c>
      <c r="H218">
        <v>6.4513510326467405E-2</v>
      </c>
      <c r="I218">
        <v>0.8480841979669016</v>
      </c>
      <c r="J218">
        <v>0.36086413740323831</v>
      </c>
      <c r="K218">
        <v>1</v>
      </c>
      <c r="L218">
        <f t="shared" si="12"/>
        <v>4.4376288836189248</v>
      </c>
      <c r="M218" t="s">
        <v>31</v>
      </c>
      <c r="N218">
        <v>374</v>
      </c>
      <c r="O218">
        <v>1</v>
      </c>
      <c r="P218">
        <v>1125</v>
      </c>
      <c r="Q218">
        <v>22.319871660737899</v>
      </c>
      <c r="R218">
        <v>28.1707683132413</v>
      </c>
      <c r="S218" t="s">
        <v>466</v>
      </c>
      <c r="T218">
        <v>1</v>
      </c>
      <c r="U218">
        <v>122.44398187829</v>
      </c>
      <c r="V218">
        <v>4.8763315783029197</v>
      </c>
      <c r="W218">
        <v>33775.79</v>
      </c>
      <c r="X218">
        <v>8.3405209214177701E-4</v>
      </c>
      <c r="Y218">
        <v>11.833271980285639</v>
      </c>
      <c r="Z218">
        <v>7.5736351013183594</v>
      </c>
      <c r="AA218">
        <f t="shared" si="13"/>
        <v>1.4521446167111458</v>
      </c>
      <c r="AB218">
        <f t="shared" si="14"/>
        <v>-0.78714694581694167</v>
      </c>
      <c r="AC218" s="13">
        <f t="shared" si="15"/>
        <v>-0.43226101156381336</v>
      </c>
      <c r="AD218" s="13"/>
      <c r="AE218" s="13"/>
      <c r="AF218" s="13"/>
    </row>
    <row r="219" spans="1:32">
      <c r="A219" s="1" t="s">
        <v>467</v>
      </c>
      <c r="B219">
        <v>2928.108871233484</v>
      </c>
      <c r="C219">
        <v>717.18144485977757</v>
      </c>
      <c r="D219">
        <v>850.90956333333327</v>
      </c>
      <c r="E219">
        <v>28369.423333333336</v>
      </c>
      <c r="F219">
        <v>27518.513770000001</v>
      </c>
      <c r="G219">
        <v>0.60504201680672276</v>
      </c>
      <c r="H219">
        <v>5.6864062390211488E-2</v>
      </c>
      <c r="I219">
        <v>13.734388345891313</v>
      </c>
      <c r="J219">
        <v>6.9502116075615374</v>
      </c>
      <c r="K219">
        <v>1</v>
      </c>
      <c r="L219">
        <f t="shared" si="12"/>
        <v>4.4396249746609415</v>
      </c>
      <c r="M219" t="s">
        <v>31</v>
      </c>
      <c r="N219">
        <v>367</v>
      </c>
      <c r="O219">
        <v>12</v>
      </c>
      <c r="P219">
        <v>1104</v>
      </c>
      <c r="Q219">
        <v>272.93321324271898</v>
      </c>
      <c r="R219">
        <v>344.47950383039603</v>
      </c>
      <c r="S219" t="s">
        <v>468</v>
      </c>
      <c r="T219">
        <v>2</v>
      </c>
      <c r="U219">
        <v>244.887963756581</v>
      </c>
      <c r="V219">
        <v>0.81272192971715396</v>
      </c>
      <c r="W219">
        <v>30617.008000000002</v>
      </c>
      <c r="X219">
        <v>1.1251246491178901E-2</v>
      </c>
      <c r="Y219">
        <v>10.47328472137451</v>
      </c>
      <c r="Z219">
        <v>8.3616571426391602</v>
      </c>
      <c r="AA219">
        <f t="shared" si="13"/>
        <v>1.4604708003410021</v>
      </c>
      <c r="AB219">
        <f t="shared" si="14"/>
        <v>-0.78793456682990037</v>
      </c>
      <c r="AC219" s="13">
        <f t="shared" si="15"/>
        <v>-0.1891070608278545</v>
      </c>
      <c r="AD219" s="13"/>
      <c r="AE219" s="13"/>
      <c r="AF219" s="13"/>
    </row>
    <row r="220" spans="1:32">
      <c r="A220" s="1" t="s">
        <v>469</v>
      </c>
      <c r="B220">
        <v>6447.513801513247</v>
      </c>
      <c r="C220">
        <v>45.823306768065336</v>
      </c>
      <c r="D220">
        <v>282.78663</v>
      </c>
      <c r="E220">
        <v>27809.752999999997</v>
      </c>
      <c r="F220">
        <v>27526.966369999998</v>
      </c>
      <c r="G220">
        <v>0.52952380952380951</v>
      </c>
      <c r="H220">
        <v>4.7965221950047661E-2</v>
      </c>
      <c r="I220">
        <v>25.239614216242952</v>
      </c>
      <c r="J220">
        <v>11.839669045086383</v>
      </c>
      <c r="K220">
        <v>1</v>
      </c>
      <c r="L220">
        <f t="shared" si="12"/>
        <v>4.4397583522809478</v>
      </c>
      <c r="M220" t="s">
        <v>31</v>
      </c>
      <c r="N220">
        <v>360</v>
      </c>
      <c r="O220">
        <v>20</v>
      </c>
      <c r="P220">
        <v>1083</v>
      </c>
      <c r="Q220">
        <v>463.70924502918098</v>
      </c>
      <c r="R220">
        <v>585.26526966567803</v>
      </c>
      <c r="S220" t="s">
        <v>470</v>
      </c>
      <c r="T220">
        <v>2</v>
      </c>
      <c r="U220">
        <v>244.887963756581</v>
      </c>
      <c r="V220">
        <v>0.48763315783029199</v>
      </c>
      <c r="W220">
        <v>25639.982</v>
      </c>
      <c r="X220">
        <v>2.2826274591989899E-2</v>
      </c>
      <c r="Y220">
        <v>8.7807798385620117</v>
      </c>
      <c r="Z220">
        <v>11.63457584381104</v>
      </c>
      <c r="AA220">
        <f t="shared" si="13"/>
        <v>1.461028516151748</v>
      </c>
      <c r="AB220">
        <f t="shared" si="14"/>
        <v>-0.78885083082438034</v>
      </c>
      <c r="AC220" s="13">
        <f t="shared" si="15"/>
        <v>-4.0093898827001746E-3</v>
      </c>
      <c r="AD220" s="13"/>
      <c r="AE220" s="13"/>
      <c r="AF220" s="13"/>
    </row>
    <row r="221" spans="1:32">
      <c r="A221" s="2" t="s">
        <v>471</v>
      </c>
      <c r="B221">
        <v>6012.7830319334143</v>
      </c>
      <c r="C221">
        <v>29.293567857274219</v>
      </c>
      <c r="D221">
        <v>510346.90666666668</v>
      </c>
      <c r="E221">
        <v>538078.70000000007</v>
      </c>
      <c r="F221">
        <v>27731.793333333335</v>
      </c>
      <c r="G221">
        <v>0.74044444444444446</v>
      </c>
      <c r="H221">
        <v>5.4870556185296744E-2</v>
      </c>
      <c r="I221">
        <v>0.90386765296319993</v>
      </c>
      <c r="J221">
        <v>0.30410986159751718</v>
      </c>
      <c r="K221">
        <v>1</v>
      </c>
      <c r="L221">
        <f t="shared" si="12"/>
        <v>4.4429779550300026</v>
      </c>
      <c r="M221" t="s">
        <v>31</v>
      </c>
      <c r="N221">
        <v>385</v>
      </c>
      <c r="O221">
        <v>26</v>
      </c>
      <c r="P221">
        <v>1158</v>
      </c>
      <c r="Q221">
        <v>563.779141689624</v>
      </c>
      <c r="R221">
        <v>711.56733433705404</v>
      </c>
      <c r="S221" t="s">
        <v>472</v>
      </c>
      <c r="T221">
        <v>0</v>
      </c>
      <c r="U221">
        <v>0</v>
      </c>
      <c r="V221">
        <v>0</v>
      </c>
      <c r="W221">
        <v>569492.19999999995</v>
      </c>
      <c r="X221">
        <v>1.2494768749019801E-3</v>
      </c>
      <c r="AA221">
        <f t="shared" si="13"/>
        <v>1.4745433205809308</v>
      </c>
      <c r="AB221">
        <f t="shared" si="14"/>
        <v>-0.7881398270512312</v>
      </c>
      <c r="AC221" s="13">
        <f t="shared" si="15"/>
        <v>9.3081972329419727E-2</v>
      </c>
      <c r="AD221" s="13"/>
      <c r="AE221" s="13"/>
      <c r="AF221" s="13"/>
    </row>
    <row r="222" spans="1:32">
      <c r="A222" s="1" t="s">
        <v>473</v>
      </c>
      <c r="B222">
        <v>797.95785797340989</v>
      </c>
      <c r="C222">
        <v>40.328736089619902</v>
      </c>
      <c r="D222">
        <v>51.609527000000007</v>
      </c>
      <c r="E222">
        <v>31434.290999999997</v>
      </c>
      <c r="F222">
        <v>31382.681472999993</v>
      </c>
      <c r="G222">
        <v>0.61560693641618491</v>
      </c>
      <c r="H222">
        <v>5.3500626245839157E-2</v>
      </c>
      <c r="I222">
        <v>5.1628533004926647</v>
      </c>
      <c r="J222">
        <v>3.525194494262283</v>
      </c>
      <c r="K222">
        <v>1</v>
      </c>
      <c r="L222">
        <f t="shared" si="12"/>
        <v>4.4966900488485528</v>
      </c>
      <c r="M222" t="s">
        <v>31</v>
      </c>
      <c r="N222">
        <v>356</v>
      </c>
      <c r="O222">
        <v>0</v>
      </c>
      <c r="P222">
        <v>1071</v>
      </c>
      <c r="Q222">
        <v>0</v>
      </c>
      <c r="R222">
        <v>0</v>
      </c>
      <c r="S222" t="s">
        <v>474</v>
      </c>
      <c r="T222">
        <v>0</v>
      </c>
      <c r="U222">
        <v>0</v>
      </c>
      <c r="W222">
        <v>32731.919999999998</v>
      </c>
      <c r="X222">
        <v>0</v>
      </c>
      <c r="Y222">
        <v>9.084599494934082</v>
      </c>
      <c r="Z222">
        <v>11.58948802947998</v>
      </c>
      <c r="AA222">
        <f t="shared" si="13"/>
        <v>1.7154346485459897</v>
      </c>
      <c r="AB222">
        <f t="shared" si="14"/>
        <v>-0.78828088110056782</v>
      </c>
      <c r="AC222" s="13">
        <f t="shared" si="15"/>
        <v>-0.45391654251028785</v>
      </c>
      <c r="AD222" s="13"/>
      <c r="AE222" s="13"/>
      <c r="AF222" s="13"/>
    </row>
    <row r="223" spans="1:32">
      <c r="A223" s="1" t="s">
        <v>475</v>
      </c>
      <c r="B223">
        <v>6278.2438986679854</v>
      </c>
      <c r="C223">
        <v>44.741395285859831</v>
      </c>
      <c r="D223">
        <v>30.617096000000004</v>
      </c>
      <c r="E223">
        <v>31796.429333333333</v>
      </c>
      <c r="F223">
        <v>31765.812237333335</v>
      </c>
      <c r="G223">
        <v>0.53623188405797095</v>
      </c>
      <c r="H223">
        <v>5.5352101117781778E-2</v>
      </c>
      <c r="I223">
        <v>21.591363158080174</v>
      </c>
      <c r="J223">
        <v>6.5657115224668505</v>
      </c>
      <c r="K223">
        <v>1</v>
      </c>
      <c r="L223">
        <f t="shared" si="12"/>
        <v>4.5019599645251134</v>
      </c>
      <c r="M223" t="s">
        <v>31</v>
      </c>
      <c r="N223">
        <v>332</v>
      </c>
      <c r="O223">
        <v>47</v>
      </c>
      <c r="P223">
        <v>999</v>
      </c>
      <c r="Q223">
        <v>1181.3445586201301</v>
      </c>
      <c r="R223">
        <v>1491.02039495759</v>
      </c>
      <c r="S223" t="s">
        <v>476</v>
      </c>
      <c r="T223">
        <v>8</v>
      </c>
      <c r="U223">
        <v>979.55185502632503</v>
      </c>
      <c r="V223">
        <v>0.83001388566858303</v>
      </c>
      <c r="W223">
        <v>34054.402000000002</v>
      </c>
      <c r="X223">
        <v>4.37834848768624E-2</v>
      </c>
      <c r="Y223">
        <v>11.92943286895752</v>
      </c>
      <c r="Z223">
        <v>9.2730121612548828</v>
      </c>
      <c r="AA223">
        <f t="shared" si="13"/>
        <v>1.7407142175368253</v>
      </c>
      <c r="AB223">
        <f t="shared" si="14"/>
        <v>-0.7880902450538545</v>
      </c>
      <c r="AC223" s="13">
        <f t="shared" si="15"/>
        <v>0.69226583866572333</v>
      </c>
      <c r="AD223" s="13"/>
      <c r="AE223" s="13"/>
      <c r="AF223" s="13"/>
    </row>
    <row r="224" spans="1:32">
      <c r="A224" s="1" t="s">
        <v>477</v>
      </c>
      <c r="B224">
        <v>6442.0369274130499</v>
      </c>
      <c r="C224">
        <v>105.5163514135763</v>
      </c>
      <c r="D224">
        <v>48.140971999999998</v>
      </c>
      <c r="E224">
        <v>32318.494999999999</v>
      </c>
      <c r="F224">
        <v>32270.354028000002</v>
      </c>
      <c r="G224">
        <v>0.61753371868978801</v>
      </c>
      <c r="H224">
        <v>4.6641615056162433E-2</v>
      </c>
      <c r="I224">
        <v>11.281470566437088</v>
      </c>
      <c r="J224">
        <v>0.3238335990535785</v>
      </c>
      <c r="K224">
        <v>1</v>
      </c>
      <c r="L224">
        <f t="shared" si="12"/>
        <v>4.5088037299394941</v>
      </c>
      <c r="M224" t="s">
        <v>31</v>
      </c>
      <c r="N224">
        <v>356</v>
      </c>
      <c r="O224">
        <v>1</v>
      </c>
      <c r="P224">
        <v>1071</v>
      </c>
      <c r="Q224">
        <v>23.445243341111201</v>
      </c>
      <c r="R224">
        <v>29.591143186177799</v>
      </c>
      <c r="S224" t="s">
        <v>478</v>
      </c>
      <c r="T224">
        <v>0</v>
      </c>
      <c r="U224">
        <v>0</v>
      </c>
      <c r="V224">
        <v>0</v>
      </c>
      <c r="W224">
        <v>33863.754000000001</v>
      </c>
      <c r="X224">
        <v>8.7382938070533597E-4</v>
      </c>
      <c r="Y224">
        <v>12.04403781890869</v>
      </c>
      <c r="Z224">
        <v>11.59268856048584</v>
      </c>
      <c r="AA224">
        <f t="shared" si="13"/>
        <v>1.7740046765478921</v>
      </c>
      <c r="AB224">
        <f t="shared" si="14"/>
        <v>-0.78898711524793719</v>
      </c>
      <c r="AC224" s="13">
        <f t="shared" si="15"/>
        <v>-0.43116913605390705</v>
      </c>
      <c r="AD224" s="13"/>
      <c r="AE224" s="13"/>
      <c r="AF224" s="13"/>
    </row>
    <row r="225" spans="1:32">
      <c r="A225" s="1" t="s">
        <v>479</v>
      </c>
      <c r="B225">
        <v>397.25664470167385</v>
      </c>
      <c r="C225">
        <v>11.175544830583808</v>
      </c>
      <c r="D225">
        <v>697.42734000000007</v>
      </c>
      <c r="E225">
        <v>34127.18</v>
      </c>
      <c r="F225">
        <v>33429.752660000006</v>
      </c>
      <c r="G225">
        <v>0.54473684210526319</v>
      </c>
      <c r="H225">
        <v>6.7370721107759546E-2</v>
      </c>
      <c r="I225">
        <v>1.4249772721186529</v>
      </c>
      <c r="J225">
        <v>0.11446733085494853</v>
      </c>
      <c r="K225">
        <v>1</v>
      </c>
      <c r="L225">
        <f t="shared" si="12"/>
        <v>4.5241331633471447</v>
      </c>
      <c r="M225" t="s">
        <v>31</v>
      </c>
      <c r="N225">
        <v>390</v>
      </c>
      <c r="O225">
        <v>24</v>
      </c>
      <c r="P225">
        <v>1173</v>
      </c>
      <c r="Q225">
        <v>513.75663669217795</v>
      </c>
      <c r="R225">
        <v>648.43200721015796</v>
      </c>
      <c r="S225" t="s">
        <v>480</v>
      </c>
      <c r="T225">
        <v>4</v>
      </c>
      <c r="U225">
        <v>489.775927513162</v>
      </c>
      <c r="V225">
        <v>0.81272192971715396</v>
      </c>
      <c r="W225">
        <v>35214.637000000002</v>
      </c>
      <c r="X225">
        <v>1.84137069824163E-2</v>
      </c>
      <c r="Y225">
        <v>8.1951141357421875</v>
      </c>
      <c r="Z225">
        <v>11.908657073974609</v>
      </c>
      <c r="AA225">
        <f t="shared" si="13"/>
        <v>1.8505036174682936</v>
      </c>
      <c r="AB225">
        <f t="shared" si="14"/>
        <v>-0.78685275475001093</v>
      </c>
      <c r="AC225" s="13">
        <f t="shared" si="15"/>
        <v>4.4548364186058315E-2</v>
      </c>
      <c r="AD225" s="13"/>
      <c r="AE225" s="13"/>
      <c r="AF225" s="13"/>
    </row>
    <row r="226" spans="1:32">
      <c r="A226" s="1" t="s">
        <v>481</v>
      </c>
      <c r="B226">
        <v>6411.648144633592</v>
      </c>
      <c r="C226">
        <v>62.54537664819118</v>
      </c>
      <c r="D226">
        <v>29645.959666666666</v>
      </c>
      <c r="E226">
        <v>64354.656666666669</v>
      </c>
      <c r="F226">
        <v>34708.696999999993</v>
      </c>
      <c r="G226">
        <v>0.59918200408997957</v>
      </c>
      <c r="H226">
        <v>5.2895197228345292E-2</v>
      </c>
      <c r="I226">
        <v>22.249976205108734</v>
      </c>
      <c r="J226">
        <v>6.3062142622101023</v>
      </c>
      <c r="K226">
        <v>1</v>
      </c>
      <c r="L226">
        <f t="shared" si="12"/>
        <v>4.5404383101182066</v>
      </c>
      <c r="M226" t="s">
        <v>31</v>
      </c>
      <c r="N226">
        <v>336</v>
      </c>
      <c r="O226">
        <v>63</v>
      </c>
      <c r="P226">
        <v>1011</v>
      </c>
      <c r="Q226">
        <v>1564.7091038128599</v>
      </c>
      <c r="R226">
        <v>1974.8795293778201</v>
      </c>
      <c r="S226" t="s">
        <v>482</v>
      </c>
      <c r="T226">
        <v>3</v>
      </c>
      <c r="U226">
        <v>367.331945634872</v>
      </c>
      <c r="V226">
        <v>0.23220626563347199</v>
      </c>
      <c r="W226">
        <v>67625.31</v>
      </c>
      <c r="X226">
        <v>2.9203260278996401E-2</v>
      </c>
      <c r="Y226">
        <v>11.997261047363279</v>
      </c>
      <c r="Z226">
        <v>12.999294281005859</v>
      </c>
      <c r="AA226">
        <f t="shared" si="13"/>
        <v>1.9348903717784716</v>
      </c>
      <c r="AB226">
        <f t="shared" si="14"/>
        <v>-0.78834321875159918</v>
      </c>
      <c r="AC226" s="13">
        <f t="shared" si="15"/>
        <v>1.0642197144940504</v>
      </c>
      <c r="AD226" s="13"/>
      <c r="AE226" s="13"/>
      <c r="AF226" s="13"/>
    </row>
    <row r="227" spans="1:32">
      <c r="A227" s="1" t="s">
        <v>483</v>
      </c>
      <c r="B227">
        <v>288.34919619894612</v>
      </c>
      <c r="C227">
        <v>17.774118589016652</v>
      </c>
      <c r="D227">
        <v>3416.1839999999997</v>
      </c>
      <c r="E227">
        <v>39612.596666666665</v>
      </c>
      <c r="F227">
        <v>36196.412666666663</v>
      </c>
      <c r="G227">
        <v>0.57509157509157505</v>
      </c>
      <c r="H227">
        <v>6.2038034846322976E-2</v>
      </c>
      <c r="I227">
        <v>1.2772572717692594</v>
      </c>
      <c r="J227">
        <v>0.33262599243108287</v>
      </c>
      <c r="K227">
        <v>1</v>
      </c>
      <c r="L227">
        <f t="shared" si="12"/>
        <v>4.5586655308571569</v>
      </c>
      <c r="M227" t="s">
        <v>31</v>
      </c>
      <c r="N227">
        <v>374</v>
      </c>
      <c r="O227">
        <v>2</v>
      </c>
      <c r="P227">
        <v>1125</v>
      </c>
      <c r="Q227">
        <v>44.639743321475898</v>
      </c>
      <c r="R227">
        <v>56.341536626482601</v>
      </c>
      <c r="S227" t="s">
        <v>484</v>
      </c>
      <c r="T227">
        <v>4</v>
      </c>
      <c r="U227">
        <v>489.775927513162</v>
      </c>
      <c r="V227">
        <v>9.7526631566058501</v>
      </c>
      <c r="W227">
        <v>44956.976999999999</v>
      </c>
      <c r="X227">
        <v>1.25323232090277E-3</v>
      </c>
      <c r="AA227">
        <f t="shared" si="13"/>
        <v>2.0330521857995603</v>
      </c>
      <c r="AB227">
        <f t="shared" si="14"/>
        <v>-0.78740183172785616</v>
      </c>
      <c r="AC227" s="13">
        <f t="shared" si="15"/>
        <v>-0.41060548061733865</v>
      </c>
      <c r="AD227" s="13"/>
      <c r="AE227" s="13"/>
      <c r="AF227" s="13"/>
    </row>
    <row r="228" spans="1:32">
      <c r="A228" s="1" t="s">
        <v>485</v>
      </c>
      <c r="B228">
        <v>5905.4475653568361</v>
      </c>
      <c r="C228">
        <v>31.654872525680428</v>
      </c>
      <c r="D228">
        <v>274809.24666666664</v>
      </c>
      <c r="E228">
        <v>311005.86</v>
      </c>
      <c r="F228">
        <v>36196.613333333335</v>
      </c>
      <c r="G228">
        <v>0.50613786591123699</v>
      </c>
      <c r="H228">
        <v>0.14899795753633238</v>
      </c>
      <c r="I228">
        <v>1.218811120223849</v>
      </c>
      <c r="J228">
        <v>0.87682305130176263</v>
      </c>
      <c r="K228">
        <v>1</v>
      </c>
      <c r="L228">
        <f t="shared" si="12"/>
        <v>4.5586679385041595</v>
      </c>
      <c r="M228" t="s">
        <v>31</v>
      </c>
      <c r="N228">
        <v>363</v>
      </c>
      <c r="O228">
        <v>16</v>
      </c>
      <c r="P228">
        <v>1092</v>
      </c>
      <c r="Q228">
        <v>367.90997242974601</v>
      </c>
      <c r="R228">
        <v>464.35332384463698</v>
      </c>
      <c r="S228" t="s">
        <v>486</v>
      </c>
      <c r="T228">
        <v>8</v>
      </c>
      <c r="U228">
        <v>979.55185502632503</v>
      </c>
      <c r="V228">
        <v>2.4381657891514599</v>
      </c>
      <c r="W228">
        <v>315072.2</v>
      </c>
      <c r="X228">
        <v>1.47379973175874E-3</v>
      </c>
      <c r="Y228">
        <v>8.9133520126342773</v>
      </c>
      <c r="Z228">
        <v>10.82058811187744</v>
      </c>
      <c r="AA228">
        <f t="shared" si="13"/>
        <v>2.0330654261010879</v>
      </c>
      <c r="AB228">
        <f t="shared" si="14"/>
        <v>-0.77844805323734656</v>
      </c>
      <c r="AC228" s="13">
        <f t="shared" si="15"/>
        <v>-9.6957241194773031E-2</v>
      </c>
      <c r="AD228" s="13"/>
      <c r="AE228" s="13"/>
      <c r="AF228" s="13"/>
    </row>
    <row r="229" spans="1:32">
      <c r="A229" s="1" t="s">
        <v>487</v>
      </c>
      <c r="B229">
        <v>3706.3879812967439</v>
      </c>
      <c r="C229">
        <v>392.04177887556449</v>
      </c>
      <c r="D229">
        <v>122259.95000000001</v>
      </c>
      <c r="E229">
        <v>158472.33666666667</v>
      </c>
      <c r="F229">
        <v>36212.386666666665</v>
      </c>
      <c r="G229">
        <v>0.62134088762983941</v>
      </c>
      <c r="H229">
        <v>0.81768731008818463</v>
      </c>
      <c r="I229">
        <v>2.6315100577762522</v>
      </c>
      <c r="J229">
        <v>1.4641365884588762</v>
      </c>
      <c r="K229">
        <v>0.99999455095470891</v>
      </c>
      <c r="L229">
        <f t="shared" si="12"/>
        <v>4.5588571490093797</v>
      </c>
      <c r="M229" t="s">
        <v>31</v>
      </c>
      <c r="N229">
        <v>363</v>
      </c>
      <c r="O229">
        <v>5</v>
      </c>
      <c r="P229">
        <v>1092</v>
      </c>
      <c r="Q229">
        <v>114.971866384295</v>
      </c>
      <c r="R229">
        <v>145.110413701449</v>
      </c>
      <c r="S229" t="s">
        <v>488</v>
      </c>
      <c r="T229">
        <v>0</v>
      </c>
      <c r="U229">
        <v>0</v>
      </c>
      <c r="V229">
        <v>0</v>
      </c>
      <c r="W229">
        <v>164853.81</v>
      </c>
      <c r="X229">
        <v>8.8023694266725801E-4</v>
      </c>
      <c r="Y229">
        <v>11.49017333984375</v>
      </c>
      <c r="Z229">
        <v>7.1694035530090332</v>
      </c>
      <c r="AA229">
        <f t="shared" si="13"/>
        <v>2.0341061753839318</v>
      </c>
      <c r="AB229">
        <f t="shared" si="14"/>
        <v>-0.70959683814306895</v>
      </c>
      <c r="AC229" s="13">
        <f t="shared" si="15"/>
        <v>-0.34236676084919004</v>
      </c>
      <c r="AD229" s="13"/>
      <c r="AE229" s="13"/>
      <c r="AF229" s="13"/>
    </row>
    <row r="230" spans="1:32">
      <c r="A230" s="1" t="s">
        <v>489</v>
      </c>
      <c r="B230">
        <v>158.03065318919474</v>
      </c>
      <c r="C230">
        <v>25.668318401197329</v>
      </c>
      <c r="D230">
        <v>13640.022333333332</v>
      </c>
      <c r="E230">
        <v>51832.978333333333</v>
      </c>
      <c r="F230">
        <v>38192.955999999998</v>
      </c>
      <c r="G230">
        <v>0.55736813485589987</v>
      </c>
      <c r="H230">
        <v>5.3352050553567509E-2</v>
      </c>
      <c r="I230">
        <v>10.799190963956057</v>
      </c>
      <c r="J230">
        <v>5.4952641240811051</v>
      </c>
      <c r="K230">
        <v>1</v>
      </c>
      <c r="L230">
        <f t="shared" si="12"/>
        <v>4.5819832725342868</v>
      </c>
      <c r="M230" t="s">
        <v>31</v>
      </c>
      <c r="N230">
        <v>623</v>
      </c>
      <c r="O230">
        <v>23</v>
      </c>
      <c r="P230">
        <v>1872</v>
      </c>
      <c r="Q230">
        <v>308.507841464526</v>
      </c>
      <c r="R230">
        <v>389.37961009888801</v>
      </c>
      <c r="S230" t="s">
        <v>490</v>
      </c>
      <c r="T230">
        <v>5</v>
      </c>
      <c r="U230">
        <v>612.21990939145303</v>
      </c>
      <c r="V230">
        <v>1.06007208223976</v>
      </c>
      <c r="W230">
        <v>58249.741999999998</v>
      </c>
      <c r="X230">
        <v>6.6846581071361398E-3</v>
      </c>
      <c r="Y230">
        <v>8.7226591110229492</v>
      </c>
      <c r="Z230">
        <v>9.1187257766723633</v>
      </c>
      <c r="AA230">
        <f t="shared" si="13"/>
        <v>2.1647872476550476</v>
      </c>
      <c r="AB230">
        <f t="shared" si="14"/>
        <v>-0.7882961791113815</v>
      </c>
      <c r="AC230" s="13">
        <f t="shared" si="15"/>
        <v>-0.15459129505300778</v>
      </c>
      <c r="AD230" s="13"/>
      <c r="AE230" s="13"/>
      <c r="AF230" s="13"/>
    </row>
    <row r="231" spans="1:32">
      <c r="A231" s="1" t="s">
        <v>491</v>
      </c>
      <c r="B231">
        <v>1675.2207725922435</v>
      </c>
      <c r="C231">
        <v>420.80787533902242</v>
      </c>
      <c r="D231">
        <v>86.615208666666661</v>
      </c>
      <c r="E231">
        <v>38780.755333333334</v>
      </c>
      <c r="F231">
        <v>38694.140124666672</v>
      </c>
      <c r="G231">
        <v>0.67628205128205132</v>
      </c>
      <c r="H231">
        <v>4.3703867302681242E-2</v>
      </c>
      <c r="I231">
        <v>0.66339992148889149</v>
      </c>
      <c r="J231">
        <v>0.5570477196731497</v>
      </c>
      <c r="K231">
        <v>1</v>
      </c>
      <c r="L231">
        <f t="shared" si="12"/>
        <v>4.5876452000521404</v>
      </c>
      <c r="M231" t="s">
        <v>31</v>
      </c>
      <c r="N231">
        <v>322</v>
      </c>
      <c r="O231">
        <v>5</v>
      </c>
      <c r="P231">
        <v>969</v>
      </c>
      <c r="Q231">
        <v>129.565818464036</v>
      </c>
      <c r="R231">
        <v>163.530001818351</v>
      </c>
      <c r="S231" t="s">
        <v>492</v>
      </c>
      <c r="T231">
        <v>3</v>
      </c>
      <c r="U231">
        <v>367.331945634872</v>
      </c>
      <c r="V231">
        <v>2.9257989469817498</v>
      </c>
      <c r="W231">
        <v>36974.586000000003</v>
      </c>
      <c r="X231">
        <v>4.42276762255976E-3</v>
      </c>
      <c r="Y231">
        <v>12.201560020446779</v>
      </c>
      <c r="Z231">
        <v>9.8299169540405273</v>
      </c>
      <c r="AA231">
        <f t="shared" si="13"/>
        <v>2.1978561625950119</v>
      </c>
      <c r="AB231">
        <f t="shared" si="14"/>
        <v>-0.78928959875794946</v>
      </c>
      <c r="AC231" s="13">
        <f t="shared" si="15"/>
        <v>-0.32820719104081469</v>
      </c>
      <c r="AD231" s="13"/>
      <c r="AE231" s="13"/>
      <c r="AF231" s="13"/>
    </row>
    <row r="232" spans="1:32">
      <c r="A232" s="1" t="s">
        <v>493</v>
      </c>
      <c r="B232">
        <v>1103.2189710578314</v>
      </c>
      <c r="C232">
        <v>115.66736715044277</v>
      </c>
      <c r="D232">
        <v>206580.56333333332</v>
      </c>
      <c r="E232">
        <v>248098.37666666668</v>
      </c>
      <c r="F232">
        <v>41517.813333333324</v>
      </c>
      <c r="G232">
        <v>0.33431952662721892</v>
      </c>
      <c r="H232">
        <v>20.074986194627552</v>
      </c>
      <c r="I232">
        <v>0.63073044199794004</v>
      </c>
      <c r="J232">
        <v>9.7299472714083166E-2</v>
      </c>
      <c r="K232">
        <v>0</v>
      </c>
      <c r="L232">
        <f t="shared" si="12"/>
        <v>4.6182344719532384</v>
      </c>
      <c r="M232" t="s">
        <v>31</v>
      </c>
      <c r="N232">
        <v>348</v>
      </c>
      <c r="O232">
        <v>76</v>
      </c>
      <c r="P232">
        <v>1047</v>
      </c>
      <c r="Q232">
        <v>1822.68292931527</v>
      </c>
      <c r="R232">
        <v>2300.47821469162</v>
      </c>
      <c r="S232" t="s">
        <v>494</v>
      </c>
      <c r="T232">
        <v>0</v>
      </c>
      <c r="U232">
        <v>0</v>
      </c>
      <c r="V232">
        <v>0</v>
      </c>
      <c r="W232">
        <v>255373.45</v>
      </c>
      <c r="X232">
        <v>9.0082904651663104E-3</v>
      </c>
      <c r="Y232">
        <v>9.7032194137573242</v>
      </c>
      <c r="Z232">
        <v>9.7065324783325195</v>
      </c>
      <c r="AA232">
        <f t="shared" si="13"/>
        <v>2.3841665514521115</v>
      </c>
      <c r="AB232">
        <f t="shared" si="14"/>
        <v>1.2732198802245198</v>
      </c>
      <c r="AC232" s="13">
        <f t="shared" si="15"/>
        <v>1.3145150677319002</v>
      </c>
      <c r="AD232" s="13"/>
      <c r="AE232" s="13"/>
      <c r="AF232" s="13"/>
    </row>
    <row r="233" spans="1:32">
      <c r="A233" s="1" t="s">
        <v>495</v>
      </c>
      <c r="B233">
        <v>2629.9548851624036</v>
      </c>
      <c r="C233">
        <v>858.91569559010884</v>
      </c>
      <c r="D233">
        <v>67650.245333333325</v>
      </c>
      <c r="E233">
        <v>119557.62333333334</v>
      </c>
      <c r="F233">
        <v>51907.378000000004</v>
      </c>
      <c r="G233">
        <v>0.68333333333333335</v>
      </c>
      <c r="H233">
        <v>1.5129123626346141</v>
      </c>
      <c r="I233">
        <v>6.6771011030962016E-2</v>
      </c>
      <c r="J233">
        <v>3.5221618713554427E-2</v>
      </c>
      <c r="K233">
        <v>4.9521819698443122E-6</v>
      </c>
      <c r="L233">
        <f t="shared" si="12"/>
        <v>4.7152290918938524</v>
      </c>
      <c r="M233" t="s">
        <v>31</v>
      </c>
      <c r="N233">
        <v>450</v>
      </c>
      <c r="O233">
        <v>7</v>
      </c>
      <c r="P233">
        <v>1353</v>
      </c>
      <c r="Q233">
        <v>129.91056121826401</v>
      </c>
      <c r="R233">
        <v>163.965114905229</v>
      </c>
      <c r="S233" t="s">
        <v>496</v>
      </c>
      <c r="T233">
        <v>1</v>
      </c>
      <c r="U233">
        <v>122.44398187829</v>
      </c>
      <c r="V233">
        <v>0.69661879690041795</v>
      </c>
      <c r="W233">
        <v>115558.38</v>
      </c>
      <c r="X233">
        <v>1.41889419793899E-3</v>
      </c>
      <c r="Y233">
        <v>8.7246236801147461</v>
      </c>
      <c r="Z233">
        <v>7.6028604507446289</v>
      </c>
      <c r="AA233">
        <f t="shared" si="13"/>
        <v>3.0696863301437438</v>
      </c>
      <c r="AB233">
        <f t="shared" si="14"/>
        <v>-0.63801338994079948</v>
      </c>
      <c r="AC233" s="13">
        <f t="shared" si="15"/>
        <v>-0.32787270939610663</v>
      </c>
      <c r="AD233" s="13"/>
      <c r="AE233" s="13"/>
      <c r="AF233" s="13"/>
    </row>
    <row r="234" spans="1:32">
      <c r="A234" s="1" t="s">
        <v>497</v>
      </c>
      <c r="B234">
        <v>4533.9634903007145</v>
      </c>
      <c r="C234">
        <v>947.21419055357421</v>
      </c>
      <c r="D234">
        <v>244983.75666666668</v>
      </c>
      <c r="E234">
        <v>297613.15000000002</v>
      </c>
      <c r="F234">
        <v>52629.393333333341</v>
      </c>
      <c r="G234">
        <v>0.56710775047258977</v>
      </c>
      <c r="H234">
        <v>0.2968913157830535</v>
      </c>
      <c r="I234">
        <v>0.52578574249898946</v>
      </c>
      <c r="J234">
        <v>0.32335151429377718</v>
      </c>
      <c r="K234">
        <v>1</v>
      </c>
      <c r="L234">
        <f t="shared" si="12"/>
        <v>4.7212283638705133</v>
      </c>
      <c r="M234" t="s">
        <v>31</v>
      </c>
      <c r="N234">
        <v>539</v>
      </c>
      <c r="O234">
        <v>32</v>
      </c>
      <c r="P234">
        <v>1620</v>
      </c>
      <c r="Q234">
        <v>495.997148016398</v>
      </c>
      <c r="R234">
        <v>626.01707362758498</v>
      </c>
      <c r="S234" t="s">
        <v>498</v>
      </c>
      <c r="T234">
        <v>3</v>
      </c>
      <c r="U234">
        <v>367.331945634872</v>
      </c>
      <c r="V234">
        <v>0.45715608546589898</v>
      </c>
      <c r="W234">
        <v>310972.40000000002</v>
      </c>
      <c r="X234">
        <v>2.0130952895742E-3</v>
      </c>
      <c r="Y234">
        <v>9.1601686477661133</v>
      </c>
      <c r="Z234">
        <v>6.8411364555358887</v>
      </c>
      <c r="AA234">
        <f t="shared" si="13"/>
        <v>3.1173260347318124</v>
      </c>
      <c r="AB234">
        <f t="shared" si="14"/>
        <v>-0.76322029855454643</v>
      </c>
      <c r="AC234" s="13">
        <f t="shared" si="15"/>
        <v>2.7317478522479986E-2</v>
      </c>
      <c r="AD234" s="13"/>
      <c r="AE234" s="13"/>
      <c r="AF234" s="13"/>
    </row>
    <row r="235" spans="1:32">
      <c r="A235" s="1" t="s">
        <v>499</v>
      </c>
      <c r="B235">
        <v>904.28668186867424</v>
      </c>
      <c r="C235">
        <v>216.4744552165495</v>
      </c>
      <c r="D235">
        <v>258711.08666666667</v>
      </c>
      <c r="E235">
        <v>311814.04666666669</v>
      </c>
      <c r="F235">
        <v>53102.959999999992</v>
      </c>
      <c r="G235">
        <v>0.49254901960784314</v>
      </c>
      <c r="H235">
        <v>17.3368021745184</v>
      </c>
      <c r="I235">
        <v>8.3792781981658333</v>
      </c>
      <c r="J235">
        <v>1.5813814074271739</v>
      </c>
      <c r="K235">
        <v>0</v>
      </c>
      <c r="L235">
        <f t="shared" si="12"/>
        <v>4.72511872966599</v>
      </c>
      <c r="M235" t="s">
        <v>31</v>
      </c>
      <c r="N235">
        <v>435</v>
      </c>
      <c r="O235">
        <v>57</v>
      </c>
      <c r="P235">
        <v>1308</v>
      </c>
      <c r="Q235">
        <v>1094.2368274042899</v>
      </c>
      <c r="R235">
        <v>1381.0783777420399</v>
      </c>
      <c r="S235" t="s">
        <v>500</v>
      </c>
      <c r="T235">
        <v>1</v>
      </c>
      <c r="U235">
        <v>122.44398187829</v>
      </c>
      <c r="V235">
        <v>8.5549676812331998E-2</v>
      </c>
      <c r="W235">
        <v>322739.8</v>
      </c>
      <c r="X235">
        <v>4.27923168367226E-3</v>
      </c>
      <c r="Y235">
        <v>10.170675277709959</v>
      </c>
      <c r="Z235">
        <v>8.308232307434082</v>
      </c>
      <c r="AA235">
        <f t="shared" si="13"/>
        <v>3.1485727064591282</v>
      </c>
      <c r="AB235">
        <f t="shared" si="14"/>
        <v>0.99128433539074756</v>
      </c>
      <c r="AC235" s="13">
        <f t="shared" si="15"/>
        <v>0.60775082900551769</v>
      </c>
      <c r="AD235" s="13"/>
      <c r="AE235" s="13"/>
      <c r="AF235" s="13"/>
    </row>
    <row r="236" spans="1:32">
      <c r="A236" s="1" t="s">
        <v>501</v>
      </c>
      <c r="B236">
        <v>124.79575006015136</v>
      </c>
      <c r="C236">
        <v>16.009643726864834</v>
      </c>
      <c r="D236">
        <v>812.06640666666669</v>
      </c>
      <c r="E236">
        <v>55084.096666666657</v>
      </c>
      <c r="F236">
        <v>54272.030260000007</v>
      </c>
      <c r="G236">
        <v>0.59450171821305842</v>
      </c>
      <c r="H236">
        <v>4.4279815547643847E-2</v>
      </c>
      <c r="I236">
        <v>0.31236068863588246</v>
      </c>
      <c r="J236">
        <v>0.18083175661376169</v>
      </c>
      <c r="K236">
        <v>1</v>
      </c>
      <c r="L236">
        <f t="shared" si="12"/>
        <v>4.7345760683865947</v>
      </c>
      <c r="M236" t="s">
        <v>31</v>
      </c>
      <c r="N236">
        <v>301</v>
      </c>
      <c r="O236">
        <v>47</v>
      </c>
      <c r="P236">
        <v>906</v>
      </c>
      <c r="Q236">
        <v>1302.60840404141</v>
      </c>
      <c r="R236">
        <v>1644.0721573538999</v>
      </c>
      <c r="S236" t="s">
        <v>502</v>
      </c>
      <c r="T236">
        <v>6</v>
      </c>
      <c r="U236">
        <v>734.663891269744</v>
      </c>
      <c r="V236">
        <v>0.62251041425143705</v>
      </c>
      <c r="W236">
        <v>59214.62</v>
      </c>
      <c r="X236">
        <v>2.77646324058805E-2</v>
      </c>
      <c r="Y236">
        <v>11.58458042144775</v>
      </c>
      <c r="Z236">
        <v>11.33965969085693</v>
      </c>
      <c r="AA236">
        <f t="shared" si="13"/>
        <v>3.2257097965704604</v>
      </c>
      <c r="AB236">
        <f t="shared" si="14"/>
        <v>-0.78923029657772814</v>
      </c>
      <c r="AC236" s="13">
        <f t="shared" si="15"/>
        <v>0.80992032150167959</v>
      </c>
      <c r="AD236" s="13"/>
      <c r="AE236" s="13"/>
      <c r="AF236" s="13"/>
    </row>
    <row r="237" spans="1:32">
      <c r="A237" s="1" t="s">
        <v>503</v>
      </c>
      <c r="B237">
        <v>684.51983605863006</v>
      </c>
      <c r="C237">
        <v>41.553718043706638</v>
      </c>
      <c r="D237">
        <v>1550.0563566666667</v>
      </c>
      <c r="E237">
        <v>59063.302000000003</v>
      </c>
      <c r="F237">
        <v>57513.245643333335</v>
      </c>
      <c r="G237">
        <v>0.66468842729970323</v>
      </c>
      <c r="H237">
        <v>4.0919033442637386E-2</v>
      </c>
      <c r="I237">
        <v>6.9477753352380059E-2</v>
      </c>
      <c r="J237">
        <v>3.0020769522942824E-2</v>
      </c>
      <c r="K237">
        <v>1</v>
      </c>
      <c r="L237">
        <f t="shared" si="12"/>
        <v>4.7597678768172722</v>
      </c>
      <c r="M237" t="s">
        <v>31</v>
      </c>
      <c r="N237">
        <v>347</v>
      </c>
      <c r="O237">
        <v>4</v>
      </c>
      <c r="P237">
        <v>1044</v>
      </c>
      <c r="Q237">
        <v>96.206343365249793</v>
      </c>
      <c r="R237">
        <v>121.42572548810899</v>
      </c>
      <c r="S237" t="s">
        <v>504</v>
      </c>
      <c r="T237">
        <v>1</v>
      </c>
      <c r="U237">
        <v>122.44398187829</v>
      </c>
      <c r="V237">
        <v>1.2190828945757299</v>
      </c>
      <c r="W237">
        <v>61826.315999999999</v>
      </c>
      <c r="X237">
        <v>1.9639812517392901E-3</v>
      </c>
      <c r="Y237">
        <v>8.7947454452514648</v>
      </c>
      <c r="Z237">
        <v>11.390524864196779</v>
      </c>
      <c r="AA237">
        <f t="shared" si="13"/>
        <v>3.4395702732662028</v>
      </c>
      <c r="AB237">
        <f t="shared" si="14"/>
        <v>-0.7895763375767566</v>
      </c>
      <c r="AC237" s="13">
        <f t="shared" si="15"/>
        <v>-0.3605737367065181</v>
      </c>
      <c r="AD237" s="13"/>
      <c r="AE237" s="13"/>
      <c r="AF237" s="13"/>
    </row>
    <row r="238" spans="1:32">
      <c r="A238" s="1" t="s">
        <v>505</v>
      </c>
      <c r="B238">
        <v>1031.1602689973527</v>
      </c>
      <c r="C238">
        <v>265.65243877822303</v>
      </c>
      <c r="D238">
        <v>210594.29666666663</v>
      </c>
      <c r="E238">
        <v>286696.28666666668</v>
      </c>
      <c r="F238">
        <v>76101.990000000005</v>
      </c>
      <c r="G238">
        <v>0.71212121212121215</v>
      </c>
      <c r="H238">
        <v>8.5511392466601041E-2</v>
      </c>
      <c r="I238">
        <v>3.5034787500845397</v>
      </c>
      <c r="J238">
        <v>1.6794363058310962</v>
      </c>
      <c r="K238">
        <v>1</v>
      </c>
      <c r="L238">
        <f t="shared" si="12"/>
        <v>4.8813960133371861</v>
      </c>
      <c r="M238" t="s">
        <v>31</v>
      </c>
      <c r="N238">
        <v>472</v>
      </c>
      <c r="O238">
        <v>7</v>
      </c>
      <c r="P238">
        <v>1419</v>
      </c>
      <c r="Q238">
        <v>123.868209533693</v>
      </c>
      <c r="R238">
        <v>156.33883049103201</v>
      </c>
      <c r="S238" t="s">
        <v>506</v>
      </c>
      <c r="T238">
        <v>1</v>
      </c>
      <c r="U238">
        <v>122.44398187829</v>
      </c>
      <c r="V238">
        <v>0.69661879690041795</v>
      </c>
      <c r="W238">
        <v>268314.8</v>
      </c>
      <c r="X238">
        <v>5.8266942595426195E-4</v>
      </c>
      <c r="Y238">
        <v>9.2127294540405273</v>
      </c>
      <c r="Z238">
        <v>7.3550610542297363</v>
      </c>
      <c r="AA238">
        <f t="shared" si="13"/>
        <v>4.6660847930151643</v>
      </c>
      <c r="AB238">
        <f t="shared" si="14"/>
        <v>-0.78498491094344258</v>
      </c>
      <c r="AC238" s="13">
        <f t="shared" si="15"/>
        <v>-0.33373521326188305</v>
      </c>
      <c r="AD238" s="13"/>
      <c r="AE238" s="13"/>
      <c r="AF238" s="13"/>
    </row>
    <row r="239" spans="1:32">
      <c r="A239" s="1" t="s">
        <v>507</v>
      </c>
      <c r="B239">
        <v>6389.1269931031702</v>
      </c>
      <c r="C239">
        <v>22.845735516655292</v>
      </c>
      <c r="D239">
        <v>653799.81666666677</v>
      </c>
      <c r="E239">
        <v>736179.28333333333</v>
      </c>
      <c r="F239">
        <v>82379.466666666631</v>
      </c>
      <c r="G239">
        <v>0.5597643097643098</v>
      </c>
      <c r="H239">
        <v>6.409360437005833E-2</v>
      </c>
      <c r="I239">
        <v>24.483833874804457</v>
      </c>
      <c r="J239">
        <v>6.8116245635343953</v>
      </c>
      <c r="K239">
        <v>1</v>
      </c>
      <c r="L239">
        <f t="shared" si="12"/>
        <v>4.9158189759613373</v>
      </c>
      <c r="M239" t="s">
        <v>31</v>
      </c>
      <c r="N239">
        <v>406</v>
      </c>
      <c r="O239">
        <v>19</v>
      </c>
      <c r="P239">
        <v>1221</v>
      </c>
      <c r="Q239">
        <v>390.73485401169</v>
      </c>
      <c r="R239">
        <v>493.16148459912603</v>
      </c>
      <c r="S239" t="s">
        <v>508</v>
      </c>
      <c r="T239">
        <v>0</v>
      </c>
      <c r="U239">
        <v>0</v>
      </c>
      <c r="V239">
        <v>0</v>
      </c>
      <c r="W239">
        <v>680657.2</v>
      </c>
      <c r="X239">
        <v>7.2453723342546898E-4</v>
      </c>
      <c r="Y239">
        <v>9.7142324447631836</v>
      </c>
      <c r="Z239">
        <v>7.4755454063415527</v>
      </c>
      <c r="AA239">
        <f t="shared" si="13"/>
        <v>5.0802825533007105</v>
      </c>
      <c r="AB239">
        <f t="shared" si="14"/>
        <v>-0.78719018119255169</v>
      </c>
      <c r="AC239" s="13">
        <f t="shared" si="15"/>
        <v>-7.4811731715124702E-2</v>
      </c>
      <c r="AD239" s="13"/>
      <c r="AE239" s="13"/>
      <c r="AF239" s="13"/>
    </row>
    <row r="240" spans="1:32">
      <c r="A240" s="1" t="s">
        <v>509</v>
      </c>
      <c r="B240">
        <v>1068.2631248744026</v>
      </c>
      <c r="C240">
        <v>129.73570109948452</v>
      </c>
      <c r="D240">
        <v>1351675.0666666667</v>
      </c>
      <c r="E240">
        <v>1437053.2</v>
      </c>
      <c r="F240">
        <v>85378.133333333302</v>
      </c>
      <c r="G240">
        <v>0.60705882352941176</v>
      </c>
      <c r="H240">
        <v>0.13305139647490541</v>
      </c>
      <c r="I240">
        <v>39.673458400661303</v>
      </c>
      <c r="J240">
        <v>21.225860894054222</v>
      </c>
      <c r="K240">
        <v>1</v>
      </c>
      <c r="L240">
        <f t="shared" si="12"/>
        <v>4.9313466553649175</v>
      </c>
      <c r="M240" t="s">
        <v>31</v>
      </c>
      <c r="N240">
        <v>435</v>
      </c>
      <c r="O240">
        <v>5</v>
      </c>
      <c r="P240">
        <v>1308</v>
      </c>
      <c r="Q240">
        <v>95.985686614412003</v>
      </c>
      <c r="R240">
        <v>121.14722611772299</v>
      </c>
      <c r="S240" t="s">
        <v>510</v>
      </c>
      <c r="T240">
        <v>1</v>
      </c>
      <c r="U240">
        <v>122.44398187829</v>
      </c>
      <c r="V240">
        <v>0.97526631566058497</v>
      </c>
      <c r="W240">
        <v>1385938.9</v>
      </c>
      <c r="X240" s="14">
        <v>8.7411664480824904E-5</v>
      </c>
      <c r="Y240" s="14">
        <v>10.5323600769043</v>
      </c>
      <c r="Z240" s="14">
        <v>7.0239577293395996</v>
      </c>
      <c r="AA240">
        <f t="shared" si="13"/>
        <v>5.2781392850941549</v>
      </c>
      <c r="AB240">
        <f t="shared" si="14"/>
        <v>-0.78008998173742561</v>
      </c>
      <c r="AC240" s="13">
        <f t="shared" si="15"/>
        <v>-0.36078782571065526</v>
      </c>
      <c r="AD240" s="13"/>
      <c r="AE240" s="13"/>
      <c r="AF240" s="13"/>
    </row>
    <row r="241" spans="1:32">
      <c r="A241" s="1" t="s">
        <v>511</v>
      </c>
      <c r="B241">
        <v>3829.5739671376014</v>
      </c>
      <c r="C241">
        <v>608.1040946152815</v>
      </c>
      <c r="D241">
        <v>243433.91333333333</v>
      </c>
      <c r="E241">
        <v>364720.45666666672</v>
      </c>
      <c r="F241">
        <v>121286.54333333335</v>
      </c>
      <c r="G241">
        <v>0.70060207991242474</v>
      </c>
      <c r="H241">
        <v>1.0565001240704934</v>
      </c>
      <c r="I241">
        <v>20.702567194835275</v>
      </c>
      <c r="J241">
        <v>7.087669917264221</v>
      </c>
      <c r="K241">
        <v>0.99999917506857106</v>
      </c>
      <c r="L241">
        <f t="shared" si="12"/>
        <v>5.0838126188363262</v>
      </c>
      <c r="M241" t="s">
        <v>31</v>
      </c>
      <c r="N241">
        <v>619</v>
      </c>
      <c r="O241">
        <v>34</v>
      </c>
      <c r="P241">
        <v>1860</v>
      </c>
      <c r="Q241">
        <v>458.99736076517502</v>
      </c>
      <c r="R241">
        <v>579.31821934488198</v>
      </c>
      <c r="S241" t="s">
        <v>512</v>
      </c>
      <c r="T241">
        <v>4</v>
      </c>
      <c r="U241">
        <v>489.775927513162</v>
      </c>
      <c r="V241">
        <v>0.57368606803563804</v>
      </c>
      <c r="W241">
        <v>372192.44</v>
      </c>
      <c r="X241">
        <v>1.5565018444353199E-3</v>
      </c>
      <c r="Y241">
        <v>8.6871194839477539</v>
      </c>
      <c r="Z241">
        <v>6.4581127166748047</v>
      </c>
      <c r="AA241">
        <f t="shared" si="13"/>
        <v>7.6474325198092554</v>
      </c>
      <c r="AB241">
        <f t="shared" si="14"/>
        <v>-0.68500761392405374</v>
      </c>
      <c r="AC241" s="13">
        <f t="shared" si="15"/>
        <v>-8.581027078754468E-3</v>
      </c>
      <c r="AD241" s="13"/>
      <c r="AE241" s="13"/>
      <c r="AF241" s="13"/>
    </row>
    <row r="242" spans="1:32">
      <c r="A242" s="1" t="s">
        <v>513</v>
      </c>
      <c r="B242">
        <v>2997.9269073539635</v>
      </c>
      <c r="C242">
        <v>553.37457631537791</v>
      </c>
      <c r="D242">
        <v>345.72610466666669</v>
      </c>
      <c r="E242">
        <v>254.28376666666668</v>
      </c>
      <c r="F242">
        <v>-91.442337999999992</v>
      </c>
      <c r="G242">
        <v>0.41965105601469233</v>
      </c>
      <c r="H242">
        <v>11.238941879161919</v>
      </c>
      <c r="I242">
        <v>4.2206565794794866</v>
      </c>
      <c r="J242">
        <v>2.1772000974967312</v>
      </c>
      <c r="K242">
        <v>0</v>
      </c>
      <c r="L242" t="e">
        <f t="shared" si="12"/>
        <v>#NUM!</v>
      </c>
      <c r="M242" t="s">
        <v>31</v>
      </c>
      <c r="N242">
        <v>373</v>
      </c>
      <c r="O242">
        <v>6</v>
      </c>
      <c r="P242">
        <v>1122</v>
      </c>
      <c r="Q242">
        <v>134.277302771819</v>
      </c>
      <c r="R242">
        <v>169.476547339018</v>
      </c>
      <c r="S242" t="s">
        <v>514</v>
      </c>
      <c r="T242">
        <v>0</v>
      </c>
      <c r="U242">
        <v>0</v>
      </c>
      <c r="V242">
        <v>0</v>
      </c>
      <c r="W242">
        <v>452.12439999999998</v>
      </c>
      <c r="X242">
        <v>0.37484494829082099</v>
      </c>
      <c r="AA242">
        <f t="shared" si="13"/>
        <v>-0.36127742570034049</v>
      </c>
      <c r="AB242">
        <f t="shared" si="14"/>
        <v>0.36342165265438997</v>
      </c>
      <c r="AC242" s="13">
        <f t="shared" si="15"/>
        <v>-0.32363594189647038</v>
      </c>
      <c r="AD242" s="13"/>
      <c r="AE242" s="13"/>
      <c r="AF242" s="13"/>
    </row>
    <row r="243" spans="1:32">
      <c r="A243" s="1" t="s">
        <v>515</v>
      </c>
      <c r="B243">
        <v>326.81094205067944</v>
      </c>
      <c r="C243">
        <v>40.985776447097344</v>
      </c>
      <c r="D243">
        <v>2087.4787666666666</v>
      </c>
      <c r="E243">
        <v>1710.6432666666667</v>
      </c>
      <c r="F243">
        <v>-376.83550000000014</v>
      </c>
      <c r="G243">
        <v>0.47786998616874138</v>
      </c>
      <c r="H243">
        <v>0.92598453858295848</v>
      </c>
      <c r="I243">
        <v>32.120500937243079</v>
      </c>
      <c r="J243">
        <v>19.916130280881294</v>
      </c>
      <c r="K243">
        <v>0.97880186800813462</v>
      </c>
      <c r="L243" t="e">
        <f t="shared" si="12"/>
        <v>#NUM!</v>
      </c>
      <c r="M243" t="s">
        <v>31</v>
      </c>
      <c r="N243">
        <v>492</v>
      </c>
      <c r="O243">
        <v>12</v>
      </c>
      <c r="P243">
        <v>1479</v>
      </c>
      <c r="Q243">
        <v>203.73108006758699</v>
      </c>
      <c r="R243">
        <v>257.13683044540699</v>
      </c>
      <c r="S243" t="s">
        <v>516</v>
      </c>
      <c r="T243">
        <v>0</v>
      </c>
      <c r="U243">
        <v>0</v>
      </c>
      <c r="V243">
        <v>0</v>
      </c>
      <c r="W243">
        <v>2254.3283999999999</v>
      </c>
      <c r="X243">
        <v>0.11406360778909</v>
      </c>
      <c r="AA243">
        <f t="shared" si="13"/>
        <v>-0.38010811433179342</v>
      </c>
      <c r="AB243">
        <f t="shared" si="14"/>
        <v>-0.69844607621639454</v>
      </c>
      <c r="AC243" s="13">
        <f t="shared" si="15"/>
        <v>-0.25624942433759967</v>
      </c>
      <c r="AD243" s="13"/>
      <c r="AE243" s="13"/>
      <c r="AF243" s="13"/>
    </row>
    <row r="244" spans="1:32">
      <c r="A244" s="1" t="s">
        <v>517</v>
      </c>
      <c r="B244">
        <v>1383.9629194676606</v>
      </c>
      <c r="C244">
        <v>233.85880275649157</v>
      </c>
      <c r="D244">
        <v>9652.5407333333333</v>
      </c>
      <c r="E244">
        <v>7757.4303666666674</v>
      </c>
      <c r="F244">
        <v>-1895.1103666666666</v>
      </c>
      <c r="G244">
        <v>0.46995708154506438</v>
      </c>
      <c r="H244">
        <v>12.837089168896048</v>
      </c>
      <c r="I244">
        <v>0.12988528341708064</v>
      </c>
      <c r="J244">
        <v>4.5233173763937408E-2</v>
      </c>
      <c r="K244">
        <v>0</v>
      </c>
      <c r="L244" t="e">
        <f t="shared" si="12"/>
        <v>#NUM!</v>
      </c>
      <c r="M244" t="s">
        <v>31</v>
      </c>
      <c r="N244">
        <v>476</v>
      </c>
      <c r="O244">
        <v>6</v>
      </c>
      <c r="P244">
        <v>1431</v>
      </c>
      <c r="Q244">
        <v>105.282413494046</v>
      </c>
      <c r="R244">
        <v>132.88098260962801</v>
      </c>
      <c r="S244" t="s">
        <v>518</v>
      </c>
      <c r="T244">
        <v>0</v>
      </c>
      <c r="U244">
        <v>0</v>
      </c>
      <c r="V244">
        <v>0</v>
      </c>
      <c r="W244">
        <v>15683.276</v>
      </c>
      <c r="X244">
        <v>8.4727822560559992E-3</v>
      </c>
      <c r="AA244">
        <f t="shared" si="13"/>
        <v>-0.4802862723184963</v>
      </c>
      <c r="AB244">
        <f t="shared" si="14"/>
        <v>0.52797397037547822</v>
      </c>
      <c r="AC244" s="13">
        <f t="shared" si="15"/>
        <v>-0.35176781163069165</v>
      </c>
      <c r="AD244" s="13"/>
      <c r="AE244" s="13"/>
      <c r="AF244" s="13"/>
    </row>
    <row r="245" spans="1:32">
      <c r="A245" s="1" t="s">
        <v>519</v>
      </c>
      <c r="B245">
        <v>6172.1099108408343</v>
      </c>
      <c r="C245">
        <v>143.79538623430878</v>
      </c>
      <c r="D245">
        <v>57408.06766666667</v>
      </c>
      <c r="E245">
        <v>56675.576333333331</v>
      </c>
      <c r="F245">
        <v>-732.49133333333396</v>
      </c>
      <c r="G245">
        <v>0.52090395480225982</v>
      </c>
      <c r="H245">
        <v>0.16764272258206922</v>
      </c>
      <c r="I245">
        <v>21.697218102688421</v>
      </c>
      <c r="J245">
        <v>17.143545863743686</v>
      </c>
      <c r="K245">
        <v>1</v>
      </c>
      <c r="L245" t="e">
        <f t="shared" si="12"/>
        <v>#NUM!</v>
      </c>
      <c r="M245" t="s">
        <v>31</v>
      </c>
      <c r="N245">
        <v>600</v>
      </c>
      <c r="O245">
        <v>12</v>
      </c>
      <c r="P245">
        <v>1803</v>
      </c>
      <c r="Q245">
        <v>167.12050328339501</v>
      </c>
      <c r="R245">
        <v>210.92921365987601</v>
      </c>
      <c r="S245" t="s">
        <v>520</v>
      </c>
      <c r="T245">
        <v>1</v>
      </c>
      <c r="U245">
        <v>122.44398187829</v>
      </c>
      <c r="V245">
        <v>0.40636096485857698</v>
      </c>
      <c r="W245">
        <v>95618.266000000003</v>
      </c>
      <c r="X245">
        <v>2.2059510434949401E-3</v>
      </c>
      <c r="Y245">
        <v>9.3197441101074219</v>
      </c>
      <c r="Z245">
        <v>7.3309144973754883</v>
      </c>
      <c r="AA245">
        <f t="shared" si="13"/>
        <v>-0.40357484426507728</v>
      </c>
      <c r="AB245">
        <f t="shared" si="14"/>
        <v>-0.77652830571385534</v>
      </c>
      <c r="AC245" s="13">
        <f t="shared" si="15"/>
        <v>-0.29177030414234228</v>
      </c>
      <c r="AD245" s="13"/>
      <c r="AE245" s="13"/>
      <c r="AF245" s="13"/>
    </row>
    <row r="246" spans="1:32">
      <c r="A246" s="1" t="s">
        <v>521</v>
      </c>
      <c r="B246">
        <v>1473.6959007439125</v>
      </c>
      <c r="C246">
        <v>185.91103792398616</v>
      </c>
      <c r="D246">
        <v>123247.18999999999</v>
      </c>
      <c r="E246">
        <v>111407.853</v>
      </c>
      <c r="F246">
        <v>-11839.336999999994</v>
      </c>
      <c r="G246">
        <v>0.52380952380952384</v>
      </c>
      <c r="H246">
        <v>0.23114085693757289</v>
      </c>
      <c r="I246">
        <v>0.99133991998558646</v>
      </c>
      <c r="J246">
        <v>0.1292071714572223</v>
      </c>
      <c r="K246">
        <v>1</v>
      </c>
      <c r="L246" t="e">
        <f t="shared" si="12"/>
        <v>#NUM!</v>
      </c>
      <c r="M246" t="s">
        <v>31</v>
      </c>
      <c r="N246">
        <v>542</v>
      </c>
      <c r="O246">
        <v>17</v>
      </c>
      <c r="P246">
        <v>1629</v>
      </c>
      <c r="Q246">
        <v>262.04269214954701</v>
      </c>
      <c r="R246">
        <v>330.73415837368901</v>
      </c>
      <c r="S246" t="s">
        <v>522</v>
      </c>
      <c r="T246">
        <v>0</v>
      </c>
      <c r="U246">
        <v>0</v>
      </c>
      <c r="V246">
        <v>0</v>
      </c>
      <c r="W246">
        <v>111939.414</v>
      </c>
      <c r="X246">
        <v>2.95458182739539E-3</v>
      </c>
      <c r="Y246">
        <v>9.5126276016235352</v>
      </c>
      <c r="Z246">
        <v>7.3948397636413574</v>
      </c>
      <c r="AA246">
        <f t="shared" si="13"/>
        <v>-1.1364219488029286</v>
      </c>
      <c r="AB246">
        <f t="shared" si="14"/>
        <v>-0.76999025678289512</v>
      </c>
      <c r="AC246" s="13">
        <f t="shared" si="15"/>
        <v>-0.19967343056963385</v>
      </c>
      <c r="AD246" s="13"/>
      <c r="AE246" s="13"/>
      <c r="AF246" s="13"/>
    </row>
    <row r="247" spans="1:32">
      <c r="A247" s="1" t="s">
        <v>523</v>
      </c>
      <c r="B247">
        <v>1245.6321434464096</v>
      </c>
      <c r="C247">
        <v>243.1406380420834</v>
      </c>
      <c r="D247">
        <v>4507.5936866666671</v>
      </c>
      <c r="E247">
        <v>3582.2955666666671</v>
      </c>
      <c r="F247">
        <v>-925.29811999999981</v>
      </c>
      <c r="G247">
        <v>0.38971315529179029</v>
      </c>
      <c r="H247">
        <v>19.361067141823387</v>
      </c>
      <c r="I247">
        <v>30.853827672455523</v>
      </c>
      <c r="J247">
        <v>9.4512277100496274</v>
      </c>
      <c r="K247">
        <v>0</v>
      </c>
      <c r="L247" t="e">
        <f t="shared" si="12"/>
        <v>#NUM!</v>
      </c>
      <c r="M247" t="s">
        <v>31</v>
      </c>
      <c r="N247">
        <v>347</v>
      </c>
      <c r="O247">
        <v>19</v>
      </c>
      <c r="P247">
        <v>1044</v>
      </c>
      <c r="Q247">
        <v>456.98013098493601</v>
      </c>
      <c r="R247">
        <v>576.77219606851804</v>
      </c>
      <c r="S247" t="s">
        <v>524</v>
      </c>
      <c r="T247">
        <v>0</v>
      </c>
      <c r="U247">
        <v>0</v>
      </c>
      <c r="V247">
        <v>0</v>
      </c>
      <c r="W247">
        <v>7088.5889999999999</v>
      </c>
      <c r="X247">
        <v>8.1366291100883198E-2</v>
      </c>
      <c r="Y247">
        <v>9.2106437683105469</v>
      </c>
      <c r="Z247">
        <v>10.5929012298584</v>
      </c>
      <c r="AA247">
        <f t="shared" si="13"/>
        <v>-0.4162965385772589</v>
      </c>
      <c r="AB247">
        <f t="shared" si="14"/>
        <v>1.1997116150234362</v>
      </c>
      <c r="AC247" s="13">
        <f t="shared" si="15"/>
        <v>-1.05382149423818E-2</v>
      </c>
      <c r="AD247" s="13"/>
      <c r="AE247" s="13"/>
      <c r="AF247" s="13"/>
    </row>
    <row r="248" spans="1:32">
      <c r="A248" s="1" t="s">
        <v>525</v>
      </c>
      <c r="B248">
        <v>377.52340749574824</v>
      </c>
      <c r="C248">
        <v>44.034151897960662</v>
      </c>
      <c r="D248">
        <v>9650.9556000000011</v>
      </c>
      <c r="E248">
        <v>8266.7918000000009</v>
      </c>
      <c r="F248">
        <v>-1384.1638000000009</v>
      </c>
      <c r="G248">
        <v>0.46474820143884893</v>
      </c>
      <c r="H248">
        <v>3.247310548904371</v>
      </c>
      <c r="I248">
        <v>34.751833909491445</v>
      </c>
      <c r="J248">
        <v>15.11150814305168</v>
      </c>
      <c r="K248">
        <v>0</v>
      </c>
      <c r="L248" t="e">
        <f t="shared" si="12"/>
        <v>#NUM!</v>
      </c>
      <c r="M248" t="s">
        <v>31</v>
      </c>
      <c r="N248">
        <v>705</v>
      </c>
      <c r="O248">
        <v>7</v>
      </c>
      <c r="P248">
        <v>2118</v>
      </c>
      <c r="Q248">
        <v>82.988191373140396</v>
      </c>
      <c r="R248">
        <v>104.742587566938</v>
      </c>
      <c r="S248" t="s">
        <v>526</v>
      </c>
      <c r="T248">
        <v>0</v>
      </c>
      <c r="U248">
        <v>0</v>
      </c>
      <c r="V248">
        <v>0</v>
      </c>
      <c r="W248">
        <v>15397.547</v>
      </c>
      <c r="X248">
        <v>6.8025502742052602E-3</v>
      </c>
      <c r="Y248">
        <v>6.7582597732543954</v>
      </c>
      <c r="Z248">
        <v>8.4352273941040039</v>
      </c>
      <c r="AA248">
        <f t="shared" si="13"/>
        <v>-0.44657321613738893</v>
      </c>
      <c r="AB248">
        <f t="shared" si="14"/>
        <v>-0.45943207691963234</v>
      </c>
      <c r="AC248" s="13">
        <f t="shared" si="15"/>
        <v>-0.37339845648408981</v>
      </c>
      <c r="AD248" s="13"/>
      <c r="AE248" s="13"/>
      <c r="AF248" s="13"/>
    </row>
    <row r="249" spans="1:32">
      <c r="A249" s="1" t="s">
        <v>527</v>
      </c>
      <c r="B249">
        <v>2055.8342220956474</v>
      </c>
      <c r="C249">
        <v>423.4546448755126</v>
      </c>
      <c r="D249">
        <v>161368.71333333335</v>
      </c>
      <c r="E249">
        <v>130118.33</v>
      </c>
      <c r="F249">
        <v>-31250.383333333331</v>
      </c>
      <c r="G249">
        <v>0.6838931955211025</v>
      </c>
      <c r="H249">
        <v>0.77547883195615563</v>
      </c>
      <c r="I249">
        <v>28.999337303892275</v>
      </c>
      <c r="J249">
        <v>15.327012487025254</v>
      </c>
      <c r="K249">
        <v>0.9981625028661445</v>
      </c>
      <c r="L249" t="e">
        <f t="shared" si="12"/>
        <v>#NUM!</v>
      </c>
      <c r="M249" t="s">
        <v>31</v>
      </c>
      <c r="N249">
        <v>397</v>
      </c>
      <c r="O249">
        <v>2</v>
      </c>
      <c r="P249">
        <v>1194</v>
      </c>
      <c r="Q249">
        <v>42.060059662194597</v>
      </c>
      <c r="R249">
        <v>53.085618680731102</v>
      </c>
      <c r="S249" t="s">
        <v>528</v>
      </c>
      <c r="T249">
        <v>1</v>
      </c>
      <c r="U249">
        <v>122.44398187829</v>
      </c>
      <c r="V249">
        <v>2.4381657891514599</v>
      </c>
      <c r="W249">
        <v>119550.43</v>
      </c>
      <c r="X249">
        <v>4.4404372849793302E-4</v>
      </c>
      <c r="Y249">
        <v>10.518967628479</v>
      </c>
      <c r="Z249">
        <v>7.7248187065124512</v>
      </c>
      <c r="AA249">
        <f t="shared" si="13"/>
        <v>-2.4171932432241516</v>
      </c>
      <c r="AB249">
        <f t="shared" si="14"/>
        <v>-0.71394280984963221</v>
      </c>
      <c r="AC249" s="13">
        <f t="shared" si="15"/>
        <v>-0.41310838117899157</v>
      </c>
      <c r="AD249" s="13"/>
      <c r="AE249" s="13"/>
      <c r="AF249" s="13"/>
    </row>
    <row r="250" spans="1:32">
      <c r="A250" s="1" t="s">
        <v>529</v>
      </c>
      <c r="B250">
        <v>1475.4668565394061</v>
      </c>
      <c r="C250">
        <v>517.99164296789934</v>
      </c>
      <c r="D250">
        <v>276.22074400000002</v>
      </c>
      <c r="E250">
        <v>130.44924666666665</v>
      </c>
      <c r="F250">
        <v>-145.77149733333334</v>
      </c>
      <c r="G250">
        <v>0.5974499089253188</v>
      </c>
      <c r="H250">
        <v>0.44382684843365589</v>
      </c>
      <c r="I250">
        <v>23.137356002541441</v>
      </c>
      <c r="J250">
        <v>4.3037708259775034</v>
      </c>
      <c r="K250">
        <v>1</v>
      </c>
      <c r="L250" t="e">
        <f t="shared" si="12"/>
        <v>#NUM!</v>
      </c>
      <c r="M250" t="s">
        <v>31</v>
      </c>
      <c r="N250">
        <v>376</v>
      </c>
      <c r="O250">
        <v>3</v>
      </c>
      <c r="P250">
        <v>1131</v>
      </c>
      <c r="Q250">
        <v>66.604391560557502</v>
      </c>
      <c r="R250">
        <v>84.063963799460197</v>
      </c>
      <c r="S250" t="s">
        <v>530</v>
      </c>
      <c r="T250">
        <v>0</v>
      </c>
      <c r="U250">
        <v>0</v>
      </c>
      <c r="V250">
        <v>0</v>
      </c>
      <c r="W250">
        <v>346.90859999999998</v>
      </c>
      <c r="X250">
        <v>0.242323089711411</v>
      </c>
      <c r="Y250">
        <v>8.2761459350585938</v>
      </c>
      <c r="Z250">
        <v>11.85178375244141</v>
      </c>
      <c r="AA250">
        <f t="shared" si="13"/>
        <v>-0.36486214887956858</v>
      </c>
      <c r="AB250">
        <f t="shared" si="14"/>
        <v>-0.7480911658340812</v>
      </c>
      <c r="AC250" s="13">
        <f t="shared" si="15"/>
        <v>-0.389294600030755</v>
      </c>
      <c r="AD250" s="13"/>
      <c r="AE250" s="13"/>
      <c r="AF250" s="13"/>
    </row>
    <row r="251" spans="1:32">
      <c r="A251" s="1" t="s">
        <v>531</v>
      </c>
      <c r="B251">
        <v>5937.8885290712651</v>
      </c>
      <c r="C251">
        <v>83.49368611878846</v>
      </c>
      <c r="D251">
        <v>5790.2208666666666</v>
      </c>
      <c r="E251">
        <v>5623.7709000000004</v>
      </c>
      <c r="F251">
        <v>-166.44996666666671</v>
      </c>
      <c r="G251">
        <v>0.6707070707070707</v>
      </c>
      <c r="H251">
        <v>1.3881989592688446</v>
      </c>
      <c r="I251">
        <v>21.555948820805941</v>
      </c>
      <c r="J251">
        <v>12.899112530044185</v>
      </c>
      <c r="K251">
        <v>1.5232701390686575E-39</v>
      </c>
      <c r="L251" t="e">
        <f t="shared" si="12"/>
        <v>#NUM!</v>
      </c>
      <c r="M251" t="s">
        <v>31</v>
      </c>
      <c r="N251">
        <v>340</v>
      </c>
      <c r="O251">
        <v>6</v>
      </c>
      <c r="P251">
        <v>1023</v>
      </c>
      <c r="Q251">
        <v>147.27188045941401</v>
      </c>
      <c r="R251">
        <v>185.87750353311699</v>
      </c>
      <c r="S251" t="s">
        <v>532</v>
      </c>
      <c r="T251">
        <v>0</v>
      </c>
      <c r="U251">
        <v>0</v>
      </c>
      <c r="V251">
        <v>0</v>
      </c>
      <c r="W251">
        <v>5992.2380000000003</v>
      </c>
      <c r="X251">
        <v>3.1019713091021601E-2</v>
      </c>
      <c r="Y251">
        <v>12.718732833862299</v>
      </c>
      <c r="Z251">
        <v>12.8213996887207</v>
      </c>
      <c r="AA251">
        <f t="shared" si="13"/>
        <v>-0.36622654673220895</v>
      </c>
      <c r="AB251">
        <f t="shared" si="14"/>
        <v>-0.65085443388371189</v>
      </c>
      <c r="AC251" s="13">
        <f t="shared" si="15"/>
        <v>-0.31102814183706906</v>
      </c>
      <c r="AD251" s="13"/>
      <c r="AE251" s="13"/>
      <c r="AF251" s="13"/>
    </row>
    <row r="252" spans="1:32">
      <c r="A252" s="1" t="s">
        <v>533</v>
      </c>
      <c r="B252">
        <v>407.32825030922282</v>
      </c>
      <c r="C252">
        <v>15.357138909110802</v>
      </c>
      <c r="D252">
        <v>35676.028666666673</v>
      </c>
      <c r="E252">
        <v>33641.598333333335</v>
      </c>
      <c r="F252">
        <v>-2034.4303333333326</v>
      </c>
      <c r="G252">
        <v>0.63111111111111118</v>
      </c>
      <c r="H252">
        <v>0.17914750101680052</v>
      </c>
      <c r="I252">
        <v>19.097544406031265</v>
      </c>
      <c r="J252">
        <v>5.4280846638628439</v>
      </c>
      <c r="K252">
        <v>1</v>
      </c>
      <c r="L252" t="e">
        <f t="shared" si="12"/>
        <v>#NUM!</v>
      </c>
      <c r="M252" t="s">
        <v>31</v>
      </c>
      <c r="N252">
        <v>385</v>
      </c>
      <c r="O252">
        <v>12</v>
      </c>
      <c r="P252">
        <v>1158</v>
      </c>
      <c r="Q252">
        <v>260.20575770290299</v>
      </c>
      <c r="R252">
        <v>328.415692770948</v>
      </c>
      <c r="S252" t="s">
        <v>534</v>
      </c>
      <c r="T252">
        <v>4</v>
      </c>
      <c r="U252">
        <v>489.775927513162</v>
      </c>
      <c r="V252">
        <v>1.6254438594342999</v>
      </c>
      <c r="W252">
        <v>39012.387000000002</v>
      </c>
      <c r="X252">
        <v>8.4182414362635096E-3</v>
      </c>
      <c r="Y252">
        <v>11.063337326049799</v>
      </c>
      <c r="Z252">
        <v>7.0732016563415527</v>
      </c>
      <c r="AA252">
        <f t="shared" si="13"/>
        <v>-0.48947882232235512</v>
      </c>
      <c r="AB252">
        <f t="shared" si="14"/>
        <v>-0.77534372281060016</v>
      </c>
      <c r="AC252" s="13">
        <f t="shared" si="15"/>
        <v>-0.2014556895073463</v>
      </c>
      <c r="AD252" s="13"/>
      <c r="AE252" s="13"/>
      <c r="AF252" s="13"/>
    </row>
    <row r="253" spans="1:32">
      <c r="A253" s="2" t="s">
        <v>535</v>
      </c>
      <c r="B253">
        <v>371.00078371098994</v>
      </c>
      <c r="C253">
        <v>33.647132690104996</v>
      </c>
      <c r="D253">
        <v>7118.2413333333343</v>
      </c>
      <c r="E253">
        <v>6321.1218000000008</v>
      </c>
      <c r="F253">
        <v>-797.11953333333338</v>
      </c>
      <c r="G253">
        <v>0.45060240963855419</v>
      </c>
      <c r="H253">
        <v>0.52580638587674</v>
      </c>
      <c r="I253">
        <v>23.948400788166015</v>
      </c>
      <c r="J253">
        <v>10.435980062685493</v>
      </c>
      <c r="K253">
        <v>0.99999469179146561</v>
      </c>
      <c r="L253" t="e">
        <f t="shared" si="12"/>
        <v>#NUM!</v>
      </c>
      <c r="M253" t="s">
        <v>31</v>
      </c>
      <c r="N253">
        <v>425</v>
      </c>
      <c r="O253">
        <v>22</v>
      </c>
      <c r="P253">
        <v>1278</v>
      </c>
      <c r="Q253">
        <v>432.25103568330502</v>
      </c>
      <c r="R253">
        <v>545.56065395361702</v>
      </c>
      <c r="S253" t="s">
        <v>536</v>
      </c>
      <c r="T253">
        <v>0</v>
      </c>
      <c r="U253">
        <v>0</v>
      </c>
      <c r="V253">
        <v>0</v>
      </c>
      <c r="W253">
        <v>8728.0290000000005</v>
      </c>
      <c r="X253">
        <v>6.2506741665686094E-2</v>
      </c>
      <c r="AA253">
        <f t="shared" si="13"/>
        <v>-0.40783911430743813</v>
      </c>
      <c r="AB253">
        <f t="shared" si="14"/>
        <v>-0.73965018984981745</v>
      </c>
      <c r="AC253" s="13">
        <f t="shared" si="15"/>
        <v>-3.4531260096167589E-2</v>
      </c>
      <c r="AD253" s="13"/>
      <c r="AE253" s="13"/>
      <c r="AF253" s="13"/>
    </row>
    <row r="254" spans="1:32">
      <c r="A254" s="1" t="s">
        <v>537</v>
      </c>
      <c r="B254">
        <v>909.11239621807863</v>
      </c>
      <c r="C254">
        <v>220.17025256597705</v>
      </c>
      <c r="D254">
        <v>781.60505000000012</v>
      </c>
      <c r="E254">
        <v>729.56445666666662</v>
      </c>
      <c r="F254">
        <v>-52.040593333333312</v>
      </c>
      <c r="G254">
        <v>0.36181678214010776</v>
      </c>
      <c r="H254">
        <v>20.498554797609749</v>
      </c>
      <c r="I254">
        <v>9.2487438208790547</v>
      </c>
      <c r="J254">
        <v>1.0612392867232254</v>
      </c>
      <c r="K254">
        <v>0</v>
      </c>
      <c r="L254" t="e">
        <f t="shared" si="12"/>
        <v>#NUM!</v>
      </c>
      <c r="M254" t="s">
        <v>31</v>
      </c>
      <c r="N254">
        <v>443</v>
      </c>
      <c r="O254">
        <v>43</v>
      </c>
      <c r="P254">
        <v>1332</v>
      </c>
      <c r="Q254">
        <v>810.60344713828704</v>
      </c>
      <c r="R254">
        <v>1023.09378164643</v>
      </c>
      <c r="S254" t="s">
        <v>538</v>
      </c>
      <c r="T254">
        <v>1</v>
      </c>
      <c r="U254">
        <v>122.44398187829</v>
      </c>
      <c r="V254">
        <v>0.113403059960533</v>
      </c>
      <c r="W254">
        <v>768.89790000000005</v>
      </c>
      <c r="X254">
        <v>1.33059770568554</v>
      </c>
      <c r="Y254">
        <v>9.2140607833862305</v>
      </c>
      <c r="Z254">
        <v>7.0841379165649414</v>
      </c>
      <c r="AA254">
        <f t="shared" si="13"/>
        <v>-0.35867763676302178</v>
      </c>
      <c r="AB254">
        <f t="shared" si="14"/>
        <v>1.316832378135272</v>
      </c>
      <c r="AC254" s="13">
        <f t="shared" si="15"/>
        <v>0.33255966584985358</v>
      </c>
      <c r="AD254" s="13"/>
      <c r="AE254" s="13"/>
      <c r="AF254" s="13"/>
    </row>
    <row r="255" spans="1:32">
      <c r="A255" s="1" t="s">
        <v>539</v>
      </c>
      <c r="B255">
        <v>1064.2946496065231</v>
      </c>
      <c r="C255">
        <v>208.2384135509057</v>
      </c>
      <c r="D255">
        <v>1542.8940433333335</v>
      </c>
      <c r="E255">
        <v>1371.5765099999999</v>
      </c>
      <c r="F255">
        <v>-171.31753333333347</v>
      </c>
      <c r="G255">
        <v>0.37095363079615051</v>
      </c>
      <c r="H255">
        <v>22.212123059057816</v>
      </c>
      <c r="I255">
        <v>21.059133165286301</v>
      </c>
      <c r="J255">
        <v>3.310983401351042</v>
      </c>
      <c r="K255">
        <v>0</v>
      </c>
      <c r="L255" t="e">
        <f t="shared" si="12"/>
        <v>#NUM!</v>
      </c>
      <c r="M255" t="s">
        <v>31</v>
      </c>
      <c r="N255">
        <v>391</v>
      </c>
      <c r="O255">
        <v>0</v>
      </c>
      <c r="P255">
        <v>1176</v>
      </c>
      <c r="Q255">
        <v>0</v>
      </c>
      <c r="R255">
        <v>0</v>
      </c>
      <c r="S255" t="s">
        <v>540</v>
      </c>
      <c r="T255">
        <v>2</v>
      </c>
      <c r="U255">
        <v>244.887963756581</v>
      </c>
      <c r="W255">
        <v>2243.8069999999998</v>
      </c>
      <c r="X255">
        <v>0</v>
      </c>
      <c r="Y255">
        <v>11.421024322509769</v>
      </c>
      <c r="Z255">
        <v>8.4548349380493164</v>
      </c>
      <c r="AA255">
        <f t="shared" si="13"/>
        <v>-0.36654771641844286</v>
      </c>
      <c r="AB255">
        <f t="shared" si="14"/>
        <v>1.4932689499117597</v>
      </c>
      <c r="AC255" s="13">
        <f t="shared" si="15"/>
        <v>-0.45391654251028785</v>
      </c>
      <c r="AD255" s="13"/>
      <c r="AE255" s="13"/>
      <c r="AF255" s="13"/>
    </row>
    <row r="256" spans="1:32">
      <c r="A256" s="1" t="s">
        <v>541</v>
      </c>
      <c r="B256">
        <v>3989.1117894487511</v>
      </c>
      <c r="C256">
        <v>372.91985243889235</v>
      </c>
      <c r="D256">
        <v>41253.018000000004</v>
      </c>
      <c r="E256">
        <v>35793.320333333337</v>
      </c>
      <c r="F256">
        <v>-5459.6976666666678</v>
      </c>
      <c r="G256">
        <v>0.65480043149946066</v>
      </c>
      <c r="H256">
        <v>0.45939869956506313</v>
      </c>
      <c r="I256" t="e">
        <v>#DIV/0!</v>
      </c>
      <c r="J256" t="e">
        <v>#DIV/0!</v>
      </c>
      <c r="K256">
        <v>1</v>
      </c>
      <c r="L256" t="e">
        <f t="shared" si="12"/>
        <v>#NUM!</v>
      </c>
      <c r="M256" t="s">
        <v>31</v>
      </c>
      <c r="N256">
        <v>319</v>
      </c>
      <c r="O256"/>
      <c r="Y256">
        <v>13.072779655456539</v>
      </c>
      <c r="Z256">
        <v>10.44688034057617</v>
      </c>
      <c r="AA256">
        <f t="shared" si="13"/>
        <v>-0.71548333547003551</v>
      </c>
      <c r="AB256">
        <f t="shared" si="14"/>
        <v>-0.74648781912671547</v>
      </c>
      <c r="AC256" s="13">
        <f t="shared" si="15"/>
        <v>-0.45391654251028785</v>
      </c>
      <c r="AD256" s="13"/>
      <c r="AE256" s="13"/>
      <c r="AF256" s="13"/>
    </row>
    <row r="257" spans="1:32">
      <c r="A257" s="1" t="s">
        <v>542</v>
      </c>
      <c r="B257">
        <v>6155.6877075222474</v>
      </c>
      <c r="C257">
        <v>117.58027948317684</v>
      </c>
      <c r="D257">
        <v>112325.58666666667</v>
      </c>
      <c r="E257">
        <v>112283.08533333334</v>
      </c>
      <c r="F257">
        <v>-42.501333333333605</v>
      </c>
      <c r="G257">
        <v>0.49876543209876545</v>
      </c>
      <c r="H257">
        <v>5.900705930815988E-2</v>
      </c>
      <c r="I257">
        <v>12.891828079212535</v>
      </c>
      <c r="J257">
        <v>8.2650282162077033</v>
      </c>
      <c r="K257">
        <v>1</v>
      </c>
      <c r="L257" t="e">
        <f t="shared" si="12"/>
        <v>#NUM!</v>
      </c>
      <c r="M257" t="s">
        <v>31</v>
      </c>
      <c r="N257">
        <v>550</v>
      </c>
      <c r="O257">
        <v>23</v>
      </c>
      <c r="P257">
        <v>1653</v>
      </c>
      <c r="Q257">
        <v>349.38093116853798</v>
      </c>
      <c r="R257">
        <v>440.96710835155397</v>
      </c>
      <c r="S257" t="s">
        <v>543</v>
      </c>
      <c r="T257">
        <v>2</v>
      </c>
      <c r="U257">
        <v>244.887963756581</v>
      </c>
      <c r="V257">
        <v>0.42402883289590598</v>
      </c>
      <c r="W257">
        <v>127467.64</v>
      </c>
      <c r="X257">
        <v>3.4594435760445098E-3</v>
      </c>
      <c r="Y257">
        <v>9.1944198608398438</v>
      </c>
      <c r="Z257">
        <v>6.417198657989502</v>
      </c>
      <c r="AA257">
        <f t="shared" si="13"/>
        <v>-0.35804822142042686</v>
      </c>
      <c r="AB257">
        <f t="shared" si="14"/>
        <v>-0.78771391438316862</v>
      </c>
      <c r="AC257" s="13">
        <f t="shared" si="15"/>
        <v>-0.1149347740650193</v>
      </c>
      <c r="AD257" s="13"/>
      <c r="AE257" s="13"/>
      <c r="AF257" s="13"/>
    </row>
    <row r="258" spans="1:32">
      <c r="A258" s="1" t="s">
        <v>544</v>
      </c>
      <c r="B258">
        <v>5366.9822594388961</v>
      </c>
      <c r="C258">
        <v>190.82539418799874</v>
      </c>
      <c r="D258">
        <v>14771.983333333332</v>
      </c>
      <c r="E258">
        <v>10985.021999999999</v>
      </c>
      <c r="F258">
        <v>-3786.9613333333332</v>
      </c>
      <c r="G258">
        <v>0.56841138659320478</v>
      </c>
      <c r="H258">
        <v>0.88942693082962199</v>
      </c>
      <c r="I258">
        <v>20.191422306543739</v>
      </c>
      <c r="J258">
        <v>11.203291345242404</v>
      </c>
      <c r="K258">
        <v>0.99999989235542019</v>
      </c>
      <c r="L258" t="e">
        <f t="shared" ref="L258:L321" si="16">LOG10(F258)</f>
        <v>#NUM!</v>
      </c>
      <c r="M258" t="s">
        <v>31</v>
      </c>
      <c r="N258">
        <v>373</v>
      </c>
      <c r="O258">
        <v>6</v>
      </c>
      <c r="P258">
        <v>1122</v>
      </c>
      <c r="Q258">
        <v>134.277302771819</v>
      </c>
      <c r="R258">
        <v>169.476547339018</v>
      </c>
      <c r="S258" t="s">
        <v>545</v>
      </c>
      <c r="T258">
        <v>1</v>
      </c>
      <c r="U258">
        <v>122.44398187829</v>
      </c>
      <c r="V258">
        <v>0.81272192971715396</v>
      </c>
      <c r="W258">
        <v>11888.046</v>
      </c>
      <c r="X258">
        <v>1.42560474058578E-2</v>
      </c>
      <c r="AA258">
        <f t="shared" ref="AA258:AA321" si="17">(F258-AVERAGE(F:F))/_xlfn.STDEV.P(F:F)</f>
        <v>-0.60511356755135537</v>
      </c>
      <c r="AB258">
        <f t="shared" ref="AB258:AB321" si="18">(H258-AVERAGE(H:H))/_xlfn.STDEV.P(H:H)</f>
        <v>-0.70221020930024236</v>
      </c>
      <c r="AC258" s="13">
        <f t="shared" ref="AC258:AC321" si="19">(Q258-AVERAGE(Q:Q))/_xlfn.STDEV.P(Q:Q)</f>
        <v>-0.32363594189647038</v>
      </c>
      <c r="AD258" s="13"/>
      <c r="AE258" s="13"/>
      <c r="AF258" s="13"/>
    </row>
    <row r="259" spans="1:32">
      <c r="A259" s="1" t="s">
        <v>546</v>
      </c>
      <c r="B259">
        <v>832.56326045218429</v>
      </c>
      <c r="C259">
        <v>181.44682257507949</v>
      </c>
      <c r="D259">
        <v>3876.3044333333332</v>
      </c>
      <c r="E259">
        <v>3684.5834</v>
      </c>
      <c r="F259">
        <v>-191.72103333333325</v>
      </c>
      <c r="G259">
        <v>0.40854700854700854</v>
      </c>
      <c r="H259">
        <v>20.188059540363025</v>
      </c>
      <c r="I259">
        <v>17.624507810763305</v>
      </c>
      <c r="J259">
        <v>3.5590423474195201</v>
      </c>
      <c r="K259">
        <v>0</v>
      </c>
      <c r="L259" t="e">
        <f t="shared" si="16"/>
        <v>#NUM!</v>
      </c>
      <c r="M259" t="s">
        <v>31</v>
      </c>
      <c r="N259">
        <v>400</v>
      </c>
      <c r="O259">
        <v>43</v>
      </c>
      <c r="P259">
        <v>1203</v>
      </c>
      <c r="Q259">
        <v>897.52601129525999</v>
      </c>
      <c r="R259">
        <v>1132.80209239654</v>
      </c>
      <c r="S259" t="s">
        <v>547</v>
      </c>
      <c r="T259">
        <v>0</v>
      </c>
      <c r="U259">
        <v>0</v>
      </c>
      <c r="V259">
        <v>0</v>
      </c>
      <c r="W259">
        <v>5303.1360000000004</v>
      </c>
      <c r="X259">
        <v>0.21360985130242699</v>
      </c>
      <c r="Y259">
        <v>9.895390510559082</v>
      </c>
      <c r="Z259">
        <v>7.4853830337524414</v>
      </c>
      <c r="AA259">
        <f t="shared" si="17"/>
        <v>-0.36789397136302293</v>
      </c>
      <c r="AB259">
        <f t="shared" si="18"/>
        <v>1.2848624123195092</v>
      </c>
      <c r="AC259" s="13">
        <f t="shared" si="19"/>
        <v>0.41689501986353411</v>
      </c>
      <c r="AD259" s="13"/>
      <c r="AE259" s="13"/>
      <c r="AF259" s="13"/>
    </row>
    <row r="260" spans="1:32">
      <c r="A260" s="1" t="s">
        <v>548</v>
      </c>
      <c r="B260">
        <v>217.83059099921806</v>
      </c>
      <c r="C260">
        <v>38.692166405342611</v>
      </c>
      <c r="D260">
        <v>8109.2514999999994</v>
      </c>
      <c r="E260">
        <v>5431.7852666666668</v>
      </c>
      <c r="F260">
        <v>-2677.4662333333331</v>
      </c>
      <c r="G260">
        <v>0.42896742896742895</v>
      </c>
      <c r="H260">
        <v>3.5162945125535945</v>
      </c>
      <c r="I260">
        <v>12.761821153219946</v>
      </c>
      <c r="J260">
        <v>4.2118612393483161</v>
      </c>
      <c r="K260">
        <v>0</v>
      </c>
      <c r="L260" t="e">
        <f t="shared" si="16"/>
        <v>#NUM!</v>
      </c>
      <c r="M260" t="s">
        <v>31</v>
      </c>
      <c r="N260">
        <v>491</v>
      </c>
      <c r="O260">
        <v>10</v>
      </c>
      <c r="P260">
        <v>1476</v>
      </c>
      <c r="Q260">
        <v>170.120973023917</v>
      </c>
      <c r="R260">
        <v>214.716221899705</v>
      </c>
      <c r="S260" t="s">
        <v>549</v>
      </c>
      <c r="T260">
        <v>8</v>
      </c>
      <c r="U260">
        <v>979.55185502632503</v>
      </c>
      <c r="V260">
        <v>3.9010652626423399</v>
      </c>
      <c r="W260">
        <v>7916.8114999999998</v>
      </c>
      <c r="X260">
        <v>2.7121552900394901E-2</v>
      </c>
      <c r="Y260">
        <v>9.2638120651245117</v>
      </c>
      <c r="Z260">
        <v>6.9712362289428711</v>
      </c>
      <c r="AA260">
        <f t="shared" si="17"/>
        <v>-0.53190733997459683</v>
      </c>
      <c r="AB260">
        <f t="shared" si="18"/>
        <v>-0.43173629760529381</v>
      </c>
      <c r="AC260" s="13">
        <f t="shared" si="19"/>
        <v>-0.28885914200362206</v>
      </c>
      <c r="AD260" s="13"/>
      <c r="AE260" s="13"/>
      <c r="AF260" s="13"/>
    </row>
    <row r="261" spans="1:32">
      <c r="A261" s="1" t="s">
        <v>550</v>
      </c>
      <c r="B261">
        <v>973.6747358042827</v>
      </c>
      <c r="C261">
        <v>177.13574851889661</v>
      </c>
      <c r="D261">
        <v>38794.210333333336</v>
      </c>
      <c r="E261">
        <v>34580.721433333332</v>
      </c>
      <c r="F261">
        <v>-4213.4889000000039</v>
      </c>
      <c r="G261">
        <v>0.45123726346433768</v>
      </c>
      <c r="H261">
        <v>1.6577914243704264</v>
      </c>
      <c r="I261">
        <v>13.984694660313769</v>
      </c>
      <c r="J261">
        <v>7.6297057651356193</v>
      </c>
      <c r="K261">
        <v>2.8532437898518683E-24</v>
      </c>
      <c r="L261" t="e">
        <f t="shared" si="16"/>
        <v>#NUM!</v>
      </c>
      <c r="M261" t="s">
        <v>31</v>
      </c>
      <c r="N261">
        <v>468</v>
      </c>
      <c r="O261">
        <v>30</v>
      </c>
      <c r="P261">
        <v>1407</v>
      </c>
      <c r="Q261">
        <v>535.39137778955603</v>
      </c>
      <c r="R261">
        <v>675.73804589331496</v>
      </c>
      <c r="S261" t="s">
        <v>551</v>
      </c>
      <c r="T261">
        <v>0</v>
      </c>
      <c r="U261">
        <v>0</v>
      </c>
      <c r="V261">
        <v>0</v>
      </c>
      <c r="W261">
        <v>66516.75</v>
      </c>
      <c r="X261">
        <v>1.0158915549742201E-2</v>
      </c>
      <c r="AA261">
        <f t="shared" si="17"/>
        <v>-0.63325652565289314</v>
      </c>
      <c r="AB261">
        <f t="shared" si="18"/>
        <v>-0.62309600056685099</v>
      </c>
      <c r="AC261" s="13">
        <f t="shared" si="19"/>
        <v>6.5539157165275044E-2</v>
      </c>
      <c r="AD261" s="13"/>
      <c r="AE261" s="13"/>
      <c r="AF261" s="13"/>
    </row>
    <row r="262" spans="1:32">
      <c r="A262" s="1" t="s">
        <v>552</v>
      </c>
      <c r="B262">
        <v>5932.7130178226216</v>
      </c>
      <c r="C262">
        <v>168.15447634587775</v>
      </c>
      <c r="D262">
        <v>9086.4078000000009</v>
      </c>
      <c r="E262">
        <v>9013.2134000000005</v>
      </c>
      <c r="F262">
        <v>-73.194399999999703</v>
      </c>
      <c r="G262">
        <v>0.50429553264604809</v>
      </c>
      <c r="H262">
        <v>0.10703599364808615</v>
      </c>
      <c r="I262">
        <v>8.1072161590867373E-2</v>
      </c>
      <c r="J262">
        <v>3.3646399108905066E-2</v>
      </c>
      <c r="K262">
        <v>1</v>
      </c>
      <c r="L262" t="e">
        <f t="shared" si="16"/>
        <v>#NUM!</v>
      </c>
      <c r="M262" t="s">
        <v>31</v>
      </c>
      <c r="N262">
        <v>398</v>
      </c>
      <c r="O262">
        <v>4</v>
      </c>
      <c r="P262">
        <v>1197</v>
      </c>
      <c r="Q262">
        <v>83.909291957661395</v>
      </c>
      <c r="R262">
        <v>105.905144034741</v>
      </c>
      <c r="S262" t="s">
        <v>553</v>
      </c>
      <c r="T262">
        <v>0</v>
      </c>
      <c r="U262">
        <v>0</v>
      </c>
      <c r="V262">
        <v>0</v>
      </c>
      <c r="W262">
        <v>14469.046</v>
      </c>
      <c r="X262">
        <v>7.3194282494327403E-3</v>
      </c>
      <c r="Y262">
        <v>8.1628866195678711</v>
      </c>
      <c r="Z262">
        <v>11.79000186920166</v>
      </c>
      <c r="AA262">
        <f t="shared" si="17"/>
        <v>-0.36007339811875438</v>
      </c>
      <c r="AB262">
        <f t="shared" si="18"/>
        <v>-0.78276864274639502</v>
      </c>
      <c r="AC262" s="13">
        <f t="shared" si="19"/>
        <v>-0.37250477203481958</v>
      </c>
      <c r="AD262" s="13"/>
      <c r="AE262" s="13"/>
      <c r="AF262" s="13"/>
    </row>
    <row r="263" spans="1:32">
      <c r="A263" s="1" t="s">
        <v>554</v>
      </c>
      <c r="B263">
        <v>5445.5573720899456</v>
      </c>
      <c r="C263">
        <v>72.638730557219787</v>
      </c>
      <c r="D263">
        <v>410334.12666666665</v>
      </c>
      <c r="E263">
        <v>410300.48666666663</v>
      </c>
      <c r="F263">
        <v>-33.639999999994565</v>
      </c>
      <c r="G263">
        <v>0.44304241149667017</v>
      </c>
      <c r="H263">
        <v>0.11098323622744759</v>
      </c>
      <c r="I263">
        <v>23.90054712980773</v>
      </c>
      <c r="J263">
        <v>5.347601655610621</v>
      </c>
      <c r="K263">
        <v>1</v>
      </c>
      <c r="L263" t="e">
        <f t="shared" si="16"/>
        <v>#NUM!</v>
      </c>
      <c r="M263" t="s">
        <v>31</v>
      </c>
      <c r="N263">
        <v>961</v>
      </c>
      <c r="O263">
        <v>41</v>
      </c>
      <c r="P263">
        <v>2886</v>
      </c>
      <c r="Q263">
        <v>356.72352056532799</v>
      </c>
      <c r="R263">
        <v>450.23447278179299</v>
      </c>
      <c r="S263" t="s">
        <v>555</v>
      </c>
      <c r="T263">
        <v>7</v>
      </c>
      <c r="U263">
        <v>857.10787314803395</v>
      </c>
      <c r="V263">
        <v>0.83254441580781602</v>
      </c>
      <c r="W263">
        <v>451865.7</v>
      </c>
      <c r="X263">
        <v>9.9639001761318304E-4</v>
      </c>
      <c r="Y263">
        <v>6.0480680465698242</v>
      </c>
      <c r="Z263">
        <v>7.712852954864502</v>
      </c>
      <c r="AA263">
        <f t="shared" si="17"/>
        <v>-0.35746353674301468</v>
      </c>
      <c r="AB263">
        <f t="shared" si="18"/>
        <v>-0.78236221718148391</v>
      </c>
      <c r="AC263" s="13">
        <f t="shared" si="19"/>
        <v>-0.10781073346450158</v>
      </c>
      <c r="AD263" s="13"/>
      <c r="AE263" s="13"/>
      <c r="AF263" s="13"/>
    </row>
    <row r="264" spans="1:32">
      <c r="A264" s="1" t="s">
        <v>556</v>
      </c>
      <c r="B264">
        <v>916.98176657920033</v>
      </c>
      <c r="C264">
        <v>145.61823502928598</v>
      </c>
      <c r="D264">
        <v>868.64861000000008</v>
      </c>
      <c r="E264">
        <v>555.50814666666668</v>
      </c>
      <c r="F264">
        <v>-313.14046333333329</v>
      </c>
      <c r="G264">
        <v>0.41711711711711713</v>
      </c>
      <c r="H264">
        <v>3.0792004288192563</v>
      </c>
      <c r="I264">
        <v>7.9025731602074809E-2</v>
      </c>
      <c r="J264">
        <v>4.056291006336047E-2</v>
      </c>
      <c r="K264">
        <v>6.6956449320965793E-18</v>
      </c>
      <c r="L264" t="e">
        <f t="shared" si="16"/>
        <v>#NUM!</v>
      </c>
      <c r="M264" t="s">
        <v>31</v>
      </c>
      <c r="N264">
        <v>380</v>
      </c>
      <c r="O264">
        <v>49</v>
      </c>
      <c r="P264">
        <v>1143</v>
      </c>
      <c r="Q264">
        <v>1076.45050332299</v>
      </c>
      <c r="R264">
        <v>1358.62957416222</v>
      </c>
      <c r="S264" t="s">
        <v>557</v>
      </c>
      <c r="T264">
        <v>0</v>
      </c>
      <c r="U264">
        <v>0</v>
      </c>
      <c r="V264">
        <v>0</v>
      </c>
      <c r="W264">
        <v>1308.0115000000001</v>
      </c>
      <c r="X264">
        <v>1.0386984932183101</v>
      </c>
      <c r="Y264">
        <v>10.926620483398439</v>
      </c>
      <c r="Z264">
        <v>8.2362232208251953</v>
      </c>
      <c r="AA264">
        <f t="shared" si="17"/>
        <v>-0.37590541587036713</v>
      </c>
      <c r="AB264">
        <f t="shared" si="18"/>
        <v>-0.47674143887273385</v>
      </c>
      <c r="AC264" s="13">
        <f t="shared" si="19"/>
        <v>0.59049390667992219</v>
      </c>
      <c r="AD264" s="13"/>
      <c r="AE264" s="13"/>
      <c r="AF264" s="13"/>
    </row>
    <row r="265" spans="1:32">
      <c r="A265" s="1" t="s">
        <v>558</v>
      </c>
      <c r="B265">
        <v>1081.009132856334</v>
      </c>
      <c r="C265">
        <v>34.246253523016257</v>
      </c>
      <c r="D265">
        <v>3149.0206666666668</v>
      </c>
      <c r="E265">
        <v>2912.1719333333331</v>
      </c>
      <c r="F265">
        <v>-236.84873333333357</v>
      </c>
      <c r="G265">
        <v>0.68189964157706096</v>
      </c>
      <c r="H265">
        <v>2.0219529802695644</v>
      </c>
      <c r="I265">
        <v>0.20215808719259884</v>
      </c>
      <c r="J265">
        <v>3.7574435138740515E-2</v>
      </c>
      <c r="K265">
        <v>1.3480192756405638E-11</v>
      </c>
      <c r="L265" t="e">
        <f t="shared" si="16"/>
        <v>#NUM!</v>
      </c>
      <c r="M265" t="s">
        <v>31</v>
      </c>
      <c r="N265">
        <v>382</v>
      </c>
      <c r="O265">
        <v>6</v>
      </c>
      <c r="P265">
        <v>1149</v>
      </c>
      <c r="Q265">
        <v>131.12196145342099</v>
      </c>
      <c r="R265">
        <v>165.49406972530801</v>
      </c>
      <c r="S265" t="s">
        <v>559</v>
      </c>
      <c r="T265">
        <v>0</v>
      </c>
      <c r="U265">
        <v>0</v>
      </c>
      <c r="V265">
        <v>0</v>
      </c>
      <c r="W265">
        <v>3628.1567</v>
      </c>
      <c r="X265">
        <v>4.5613815336396003E-2</v>
      </c>
      <c r="Y265">
        <v>10.57641696929932</v>
      </c>
      <c r="Z265">
        <v>9.0525617599487305</v>
      </c>
      <c r="AA265">
        <f t="shared" si="17"/>
        <v>-0.37087156781767666</v>
      </c>
      <c r="AB265">
        <f t="shared" si="18"/>
        <v>-0.58560031513594812</v>
      </c>
      <c r="AC265" s="13">
        <f t="shared" si="19"/>
        <v>-0.32669736593178211</v>
      </c>
      <c r="AD265" s="13"/>
      <c r="AE265" s="13"/>
      <c r="AF265" s="13"/>
    </row>
    <row r="266" spans="1:32">
      <c r="A266" s="1" t="s">
        <v>560</v>
      </c>
      <c r="B266">
        <v>888.76188227633884</v>
      </c>
      <c r="C266">
        <v>155.98443524884826</v>
      </c>
      <c r="D266">
        <v>17361.527666666665</v>
      </c>
      <c r="E266">
        <v>12323.017333333331</v>
      </c>
      <c r="F266">
        <v>-5038.5103333333345</v>
      </c>
      <c r="G266">
        <v>0.36046511627906974</v>
      </c>
      <c r="H266">
        <v>22.080487931362828</v>
      </c>
      <c r="I266">
        <v>0.59246379031058738</v>
      </c>
      <c r="J266">
        <v>0.38887281588766204</v>
      </c>
      <c r="K266">
        <v>0</v>
      </c>
      <c r="L266" t="e">
        <f t="shared" si="16"/>
        <v>#NUM!</v>
      </c>
      <c r="M266" t="s">
        <v>31</v>
      </c>
      <c r="N266">
        <v>354</v>
      </c>
      <c r="O266">
        <v>3</v>
      </c>
      <c r="P266">
        <v>1065</v>
      </c>
      <c r="Q266">
        <v>70.731987657268107</v>
      </c>
      <c r="R266">
        <v>89.273561556046403</v>
      </c>
      <c r="S266" t="s">
        <v>561</v>
      </c>
      <c r="T266">
        <v>0</v>
      </c>
      <c r="U266">
        <v>0</v>
      </c>
      <c r="V266">
        <v>0</v>
      </c>
      <c r="W266">
        <v>18407.401999999998</v>
      </c>
      <c r="X266">
        <v>4.8498729780577596E-3</v>
      </c>
      <c r="AA266">
        <f t="shared" si="17"/>
        <v>-0.68769273434304701</v>
      </c>
      <c r="AB266">
        <f t="shared" si="18"/>
        <v>1.4797152145990871</v>
      </c>
      <c r="AC266" s="13">
        <f t="shared" si="19"/>
        <v>-0.38528985993343179</v>
      </c>
      <c r="AD266" s="13"/>
      <c r="AE266" s="13"/>
      <c r="AF266" s="13"/>
    </row>
    <row r="267" spans="1:32">
      <c r="A267" s="1" t="s">
        <v>562</v>
      </c>
      <c r="B267">
        <v>4814.3306468121591</v>
      </c>
      <c r="C267">
        <v>818.16399320527762</v>
      </c>
      <c r="D267">
        <v>690599.14666666661</v>
      </c>
      <c r="E267">
        <v>611112.79666666663</v>
      </c>
      <c r="F267">
        <v>-79486.35000000002</v>
      </c>
      <c r="G267">
        <v>0.65719696969696972</v>
      </c>
      <c r="H267">
        <v>2.9207646937850256</v>
      </c>
      <c r="I267">
        <v>3.1048697734470729</v>
      </c>
      <c r="J267">
        <v>1.6261171850608531</v>
      </c>
      <c r="K267">
        <v>1.8784636608520261E-41</v>
      </c>
      <c r="L267" t="e">
        <f t="shared" si="16"/>
        <v>#NUM!</v>
      </c>
      <c r="M267" t="s">
        <v>31</v>
      </c>
      <c r="N267">
        <v>362</v>
      </c>
      <c r="O267">
        <v>7</v>
      </c>
      <c r="P267">
        <v>1089</v>
      </c>
      <c r="Q267">
        <v>161.40403060450899</v>
      </c>
      <c r="R267">
        <v>203.71423367013301</v>
      </c>
      <c r="S267" t="s">
        <v>563</v>
      </c>
      <c r="T267">
        <v>2</v>
      </c>
      <c r="U267">
        <v>244.887963756581</v>
      </c>
      <c r="V267">
        <v>1.3932375938008299</v>
      </c>
      <c r="W267">
        <v>619743.93999999994</v>
      </c>
      <c r="X267">
        <v>3.2870710066182102E-4</v>
      </c>
      <c r="AA267">
        <f t="shared" si="17"/>
        <v>-5.5998780096417224</v>
      </c>
      <c r="AB267">
        <f t="shared" si="18"/>
        <v>-0.49305468332598068</v>
      </c>
      <c r="AC267" s="13">
        <f t="shared" si="19"/>
        <v>-0.29731662864115438</v>
      </c>
      <c r="AD267" s="13"/>
      <c r="AE267" s="13"/>
      <c r="AF267" s="13"/>
    </row>
    <row r="268" spans="1:32">
      <c r="A268" s="1" t="s">
        <v>564</v>
      </c>
      <c r="B268">
        <v>4314.1718946140763</v>
      </c>
      <c r="C268">
        <v>329.42029978767778</v>
      </c>
      <c r="D268">
        <v>202164.09666666668</v>
      </c>
      <c r="E268">
        <v>172631.16</v>
      </c>
      <c r="F268">
        <v>-29532.936666666687</v>
      </c>
      <c r="G268">
        <v>0.71322160148975788</v>
      </c>
      <c r="H268">
        <v>0.15340598184436269</v>
      </c>
      <c r="I268">
        <v>33.445332397006815</v>
      </c>
      <c r="J268">
        <v>21.148365024090083</v>
      </c>
      <c r="K268">
        <v>1</v>
      </c>
      <c r="L268" t="e">
        <f t="shared" si="16"/>
        <v>#NUM!</v>
      </c>
      <c r="M268" t="s">
        <v>31</v>
      </c>
      <c r="N268">
        <v>368</v>
      </c>
      <c r="O268">
        <v>4</v>
      </c>
      <c r="P268">
        <v>1107</v>
      </c>
      <c r="Q268">
        <v>90.731185612755894</v>
      </c>
      <c r="R268">
        <v>114.51531834650901</v>
      </c>
      <c r="S268" t="s">
        <v>565</v>
      </c>
      <c r="T268">
        <v>1</v>
      </c>
      <c r="U268">
        <v>122.44398187829</v>
      </c>
      <c r="V268">
        <v>1.2190828945757299</v>
      </c>
      <c r="W268">
        <v>183660.94</v>
      </c>
      <c r="X268">
        <v>6.2351482218543197E-4</v>
      </c>
      <c r="Y268">
        <v>10.34602737426758</v>
      </c>
      <c r="Z268">
        <v>10.03407573699951</v>
      </c>
      <c r="AA268">
        <f t="shared" si="17"/>
        <v>-2.303873417358365</v>
      </c>
      <c r="AB268">
        <f t="shared" si="18"/>
        <v>-0.77799418354641336</v>
      </c>
      <c r="AC268" s="13">
        <f t="shared" si="19"/>
        <v>-0.3658859289067326</v>
      </c>
      <c r="AD268" s="13"/>
      <c r="AE268" s="13"/>
      <c r="AF268" s="13"/>
    </row>
    <row r="269" spans="1:32">
      <c r="A269" s="1" t="s">
        <v>566</v>
      </c>
      <c r="B269">
        <v>298.57905214949102</v>
      </c>
      <c r="C269">
        <v>43.183819924602162</v>
      </c>
      <c r="D269">
        <v>75466.613333333327</v>
      </c>
      <c r="E269">
        <v>75376.298666666669</v>
      </c>
      <c r="F269">
        <v>-90.314666666658013</v>
      </c>
      <c r="G269">
        <v>0.63617245005257628</v>
      </c>
      <c r="H269">
        <v>0.42487262456264485</v>
      </c>
      <c r="I269">
        <v>10.594374455017407</v>
      </c>
      <c r="J269">
        <v>11.725064141381104</v>
      </c>
      <c r="K269">
        <v>1</v>
      </c>
      <c r="L269" t="e">
        <f t="shared" si="16"/>
        <v>#NUM!</v>
      </c>
      <c r="M269" t="s">
        <v>31</v>
      </c>
      <c r="N269">
        <v>327</v>
      </c>
      <c r="O269">
        <v>26</v>
      </c>
      <c r="P269">
        <v>984</v>
      </c>
      <c r="Q269">
        <v>663.47179479327701</v>
      </c>
      <c r="R269">
        <v>837.39326540884997</v>
      </c>
      <c r="S269" t="s">
        <v>567</v>
      </c>
      <c r="T269">
        <v>3</v>
      </c>
      <c r="U269">
        <v>367.331945634872</v>
      </c>
      <c r="V269">
        <v>0.56265364365033699</v>
      </c>
      <c r="W269">
        <v>72452.41</v>
      </c>
      <c r="X269">
        <v>1.15578386613896E-2</v>
      </c>
      <c r="Y269">
        <v>12.147292137146</v>
      </c>
      <c r="Z269">
        <v>9.7473793029785156</v>
      </c>
      <c r="AA269">
        <f t="shared" si="17"/>
        <v>-0.36120302017636802</v>
      </c>
      <c r="AB269">
        <f t="shared" si="18"/>
        <v>-0.75004277660776542</v>
      </c>
      <c r="AC269" s="13">
        <f t="shared" si="19"/>
        <v>0.18980731946570947</v>
      </c>
      <c r="AD269" s="13"/>
      <c r="AE269" s="13"/>
      <c r="AF269" s="13"/>
    </row>
    <row r="270" spans="1:32">
      <c r="A270" s="1" t="s">
        <v>568</v>
      </c>
      <c r="B270">
        <v>586.46502005248931</v>
      </c>
      <c r="C270">
        <v>180.88495706130783</v>
      </c>
      <c r="D270">
        <v>4796.6845666666668</v>
      </c>
      <c r="E270">
        <v>3993.8239666666664</v>
      </c>
      <c r="F270">
        <v>-802.86059999999998</v>
      </c>
      <c r="G270">
        <v>0.44313725490196076</v>
      </c>
      <c r="H270">
        <v>10.619542215844513</v>
      </c>
      <c r="I270">
        <v>19.93086157171626</v>
      </c>
      <c r="J270">
        <v>4.3353666931915855</v>
      </c>
      <c r="K270">
        <v>0</v>
      </c>
      <c r="L270" t="e">
        <f t="shared" si="16"/>
        <v>#NUM!</v>
      </c>
      <c r="M270" t="s">
        <v>31</v>
      </c>
      <c r="N270">
        <v>350</v>
      </c>
      <c r="O270">
        <v>266</v>
      </c>
      <c r="P270">
        <v>1053</v>
      </c>
      <c r="Q270">
        <v>6343.0404505943297</v>
      </c>
      <c r="R270">
        <v>8005.7952685066102</v>
      </c>
      <c r="S270" t="s">
        <v>569</v>
      </c>
      <c r="T270">
        <v>0</v>
      </c>
      <c r="U270">
        <v>0</v>
      </c>
      <c r="V270">
        <v>0</v>
      </c>
      <c r="W270">
        <v>8086.3580000000002</v>
      </c>
      <c r="X270">
        <v>0.99003720445058396</v>
      </c>
      <c r="Y270">
        <v>12.24775218963623</v>
      </c>
      <c r="Z270">
        <v>8.4033298492431641</v>
      </c>
      <c r="AA270">
        <f t="shared" si="17"/>
        <v>-0.40821791889425729</v>
      </c>
      <c r="AB270">
        <f t="shared" si="18"/>
        <v>0.29964552210043011</v>
      </c>
      <c r="AC270" s="13">
        <f t="shared" si="19"/>
        <v>5.7003262264664638</v>
      </c>
      <c r="AD270" s="13"/>
      <c r="AE270" s="13"/>
      <c r="AF270" s="13"/>
    </row>
    <row r="271" spans="1:32">
      <c r="A271" s="1" t="s">
        <v>570</v>
      </c>
      <c r="B271">
        <v>1609.1154637824077</v>
      </c>
      <c r="C271">
        <v>378.46109770982395</v>
      </c>
      <c r="D271">
        <v>155.71367999999998</v>
      </c>
      <c r="E271">
        <v>74.175006666666661</v>
      </c>
      <c r="F271">
        <v>-81.538673333333335</v>
      </c>
      <c r="G271">
        <v>0.59916926272066462</v>
      </c>
      <c r="H271">
        <v>1.2764395223561416</v>
      </c>
      <c r="I271">
        <v>21.112446024002363</v>
      </c>
      <c r="J271">
        <v>5.5468068090609357</v>
      </c>
      <c r="K271">
        <v>4.0298608770026478E-4</v>
      </c>
      <c r="L271" t="e">
        <f t="shared" si="16"/>
        <v>#NUM!</v>
      </c>
      <c r="M271" t="s">
        <v>31</v>
      </c>
      <c r="N271">
        <v>331</v>
      </c>
      <c r="O271">
        <v>7</v>
      </c>
      <c r="P271">
        <v>996</v>
      </c>
      <c r="Q271">
        <v>176.47488888384601</v>
      </c>
      <c r="R271">
        <v>222.73574344053699</v>
      </c>
      <c r="S271" t="s">
        <v>571</v>
      </c>
      <c r="T271">
        <v>0</v>
      </c>
      <c r="U271">
        <v>0</v>
      </c>
      <c r="V271">
        <v>0</v>
      </c>
      <c r="W271">
        <v>133.64644999999999</v>
      </c>
      <c r="X271">
        <v>1.6666042640155201</v>
      </c>
      <c r="Y271">
        <v>8.718663215637207</v>
      </c>
      <c r="Z271">
        <v>11.93939685821533</v>
      </c>
      <c r="AA271">
        <f t="shared" si="17"/>
        <v>-0.36062396636606142</v>
      </c>
      <c r="AB271">
        <f t="shared" si="18"/>
        <v>-0.66236168011146634</v>
      </c>
      <c r="AC271" s="13">
        <f t="shared" si="19"/>
        <v>-0.28269434752686751</v>
      </c>
      <c r="AD271" s="13"/>
      <c r="AE271" s="13"/>
      <c r="AF271" s="13"/>
    </row>
    <row r="272" spans="1:32">
      <c r="A272" s="2" t="s">
        <v>572</v>
      </c>
      <c r="B272">
        <v>2433.2688541764069</v>
      </c>
      <c r="C272">
        <v>1231.869763324728</v>
      </c>
      <c r="D272">
        <v>12276.648200000001</v>
      </c>
      <c r="E272">
        <v>11323.077333333333</v>
      </c>
      <c r="F272">
        <v>-953.57086666666726</v>
      </c>
      <c r="G272">
        <v>0.50256410256410255</v>
      </c>
      <c r="H272">
        <v>1.5013665992836161E-2</v>
      </c>
      <c r="I272">
        <v>4.8422270876080988</v>
      </c>
      <c r="J272">
        <v>3.925388833306136</v>
      </c>
      <c r="K272">
        <v>1</v>
      </c>
      <c r="L272" t="e">
        <f t="shared" si="16"/>
        <v>#NUM!</v>
      </c>
      <c r="M272" t="s">
        <v>31</v>
      </c>
      <c r="N272">
        <v>400</v>
      </c>
      <c r="O272">
        <v>6</v>
      </c>
      <c r="P272">
        <v>1203</v>
      </c>
      <c r="Q272">
        <v>125.236187622594</v>
      </c>
      <c r="R272">
        <v>158.065408241379</v>
      </c>
      <c r="S272" t="s">
        <v>573</v>
      </c>
      <c r="T272">
        <v>0</v>
      </c>
      <c r="U272">
        <v>0</v>
      </c>
      <c r="V272">
        <v>0</v>
      </c>
      <c r="W272">
        <v>16790.87</v>
      </c>
      <c r="X272">
        <v>9.4137711888293406E-3</v>
      </c>
      <c r="AA272">
        <f t="shared" si="17"/>
        <v>-0.4181620187643279</v>
      </c>
      <c r="AB272">
        <f t="shared" si="18"/>
        <v>-0.79224366885633501</v>
      </c>
      <c r="AC272" s="13">
        <f t="shared" si="19"/>
        <v>-0.33240795241161541</v>
      </c>
      <c r="AD272" s="13"/>
      <c r="AE272" s="13"/>
      <c r="AF272" s="13"/>
    </row>
    <row r="273" spans="1:32">
      <c r="A273" s="1" t="s">
        <v>574</v>
      </c>
      <c r="B273">
        <v>443.57967211236655</v>
      </c>
      <c r="C273">
        <v>29.284736601845118</v>
      </c>
      <c r="D273">
        <v>1861.3324</v>
      </c>
      <c r="E273">
        <v>1698.1592333333331</v>
      </c>
      <c r="F273">
        <v>-163.17316666666662</v>
      </c>
      <c r="G273">
        <v>0.63163163163163161</v>
      </c>
      <c r="H273">
        <v>0.10565251129368645</v>
      </c>
      <c r="I273">
        <v>17.818428655028463</v>
      </c>
      <c r="J273">
        <v>7.4880651348184957</v>
      </c>
      <c r="K273">
        <v>1</v>
      </c>
      <c r="L273" t="e">
        <f t="shared" si="16"/>
        <v>#NUM!</v>
      </c>
      <c r="M273" t="s">
        <v>31</v>
      </c>
      <c r="N273">
        <v>343</v>
      </c>
      <c r="O273">
        <v>3</v>
      </c>
      <c r="P273">
        <v>1032</v>
      </c>
      <c r="Q273">
        <v>72.993766332355193</v>
      </c>
      <c r="R273">
        <v>92.128239396501399</v>
      </c>
      <c r="S273" t="s">
        <v>575</v>
      </c>
      <c r="T273">
        <v>0</v>
      </c>
      <c r="U273">
        <v>0</v>
      </c>
      <c r="V273">
        <v>0</v>
      </c>
      <c r="W273">
        <v>2023.1721</v>
      </c>
      <c r="X273">
        <v>4.5536531171273702E-2</v>
      </c>
      <c r="Y273">
        <v>9.3019018173217773</v>
      </c>
      <c r="Z273">
        <v>10.40782451629639</v>
      </c>
      <c r="AA273">
        <f t="shared" si="17"/>
        <v>-0.36601033832667068</v>
      </c>
      <c r="AB273">
        <f t="shared" si="18"/>
        <v>-0.78291109221235167</v>
      </c>
      <c r="AC273" s="13">
        <f t="shared" si="19"/>
        <v>-0.3830954020603346</v>
      </c>
      <c r="AD273" s="13"/>
      <c r="AE273" s="13"/>
      <c r="AF273" s="13"/>
    </row>
    <row r="274" spans="1:32">
      <c r="A274" s="1" t="s">
        <v>576</v>
      </c>
      <c r="B274">
        <v>821.6931800864744</v>
      </c>
      <c r="C274">
        <v>238.57755058244086</v>
      </c>
      <c r="D274">
        <v>9244.9825000000001</v>
      </c>
      <c r="E274">
        <v>8858.1710000000003</v>
      </c>
      <c r="F274">
        <v>-386.8114999999998</v>
      </c>
      <c r="G274">
        <v>0.43174603174603177</v>
      </c>
      <c r="H274">
        <v>17.141393739818739</v>
      </c>
      <c r="I274">
        <v>12.626499312579121</v>
      </c>
      <c r="J274">
        <v>4.0129253855499361</v>
      </c>
      <c r="K274">
        <v>0</v>
      </c>
      <c r="L274" t="e">
        <f t="shared" si="16"/>
        <v>#NUM!</v>
      </c>
      <c r="M274" t="s">
        <v>31</v>
      </c>
      <c r="N274">
        <v>430</v>
      </c>
      <c r="O274">
        <v>8</v>
      </c>
      <c r="P274">
        <v>1293</v>
      </c>
      <c r="Q274">
        <v>155.35873545757201</v>
      </c>
      <c r="R274">
        <v>196.08423419889499</v>
      </c>
      <c r="S274" t="s">
        <v>577</v>
      </c>
      <c r="T274">
        <v>2</v>
      </c>
      <c r="U274">
        <v>244.887963756581</v>
      </c>
      <c r="V274">
        <v>1.2190828945757299</v>
      </c>
      <c r="W274">
        <v>12408.648999999999</v>
      </c>
      <c r="X274">
        <v>1.5802222643165699E-2</v>
      </c>
      <c r="Y274">
        <v>9.7116127014160156</v>
      </c>
      <c r="Z274">
        <v>6.6683735847473136</v>
      </c>
      <c r="AA274">
        <f t="shared" si="17"/>
        <v>-0.38076634646486524</v>
      </c>
      <c r="AB274">
        <f t="shared" si="18"/>
        <v>0.9711642181533503</v>
      </c>
      <c r="AC274" s="13">
        <f t="shared" si="19"/>
        <v>-0.30318198835849325</v>
      </c>
      <c r="AD274" s="13"/>
      <c r="AE274" s="13"/>
      <c r="AF274" s="13"/>
    </row>
    <row r="275" spans="1:32">
      <c r="A275" s="1" t="s">
        <v>578</v>
      </c>
      <c r="B275">
        <v>400.3929762894</v>
      </c>
      <c r="C275">
        <v>193.09495127192511</v>
      </c>
      <c r="D275">
        <v>566.44868333333341</v>
      </c>
      <c r="E275">
        <v>512.40381666666667</v>
      </c>
      <c r="F275">
        <v>-54.044866666666699</v>
      </c>
      <c r="G275">
        <v>0.56622222222222218</v>
      </c>
      <c r="H275">
        <v>2.7336378349285106</v>
      </c>
      <c r="I275">
        <v>16.78560277925612</v>
      </c>
      <c r="J275">
        <v>2.4332244862170382</v>
      </c>
      <c r="K275">
        <v>2.541206602402915E-29</v>
      </c>
      <c r="L275" t="e">
        <f t="shared" si="16"/>
        <v>#NUM!</v>
      </c>
      <c r="M275" t="s">
        <v>31</v>
      </c>
      <c r="N275">
        <v>385</v>
      </c>
      <c r="O275">
        <v>33</v>
      </c>
      <c r="P275">
        <v>1158</v>
      </c>
      <c r="Q275">
        <v>715.56583368298402</v>
      </c>
      <c r="R275">
        <v>903.14315512010705</v>
      </c>
      <c r="S275" t="s">
        <v>579</v>
      </c>
      <c r="T275">
        <v>0</v>
      </c>
      <c r="U275">
        <v>0</v>
      </c>
      <c r="V275">
        <v>0</v>
      </c>
      <c r="W275">
        <v>614.20525999999995</v>
      </c>
      <c r="X275">
        <v>1.4704256279409</v>
      </c>
      <c r="Y275">
        <v>11.421762466430661</v>
      </c>
      <c r="Z275">
        <v>7.5143837928771973</v>
      </c>
      <c r="AA275">
        <f t="shared" si="17"/>
        <v>-0.3588098818624062</v>
      </c>
      <c r="AB275">
        <f t="shared" si="18"/>
        <v>-0.51232209286357677</v>
      </c>
      <c r="AC275" s="13">
        <f t="shared" si="19"/>
        <v>0.24035080324780225</v>
      </c>
      <c r="AD275" s="13"/>
      <c r="AE275" s="13"/>
      <c r="AF275" s="13"/>
    </row>
    <row r="276" spans="1:32">
      <c r="A276" s="3" t="s">
        <v>580</v>
      </c>
      <c r="B276">
        <v>790.19364889685437</v>
      </c>
      <c r="C276">
        <v>298.70974134892975</v>
      </c>
      <c r="D276">
        <v>706.30944666666664</v>
      </c>
      <c r="E276">
        <v>420.31280266666676</v>
      </c>
      <c r="F276">
        <v>-285.99664399999989</v>
      </c>
      <c r="G276">
        <v>0.65447154471544711</v>
      </c>
      <c r="H276">
        <v>0.38819464030201106</v>
      </c>
      <c r="I276">
        <v>28.956397266126611</v>
      </c>
      <c r="J276">
        <v>9.4792716370593304</v>
      </c>
      <c r="K276">
        <v>0.99999999988765775</v>
      </c>
      <c r="L276" t="e">
        <f t="shared" si="16"/>
        <v>#NUM!</v>
      </c>
      <c r="M276" t="s">
        <v>31</v>
      </c>
      <c r="N276">
        <v>420</v>
      </c>
      <c r="O276">
        <v>5</v>
      </c>
      <c r="P276">
        <v>1263</v>
      </c>
      <c r="Q276">
        <v>99.405604189747393</v>
      </c>
      <c r="R276">
        <v>125.463635599352</v>
      </c>
      <c r="S276" t="s">
        <v>581</v>
      </c>
      <c r="T276">
        <v>0</v>
      </c>
      <c r="U276">
        <v>0</v>
      </c>
      <c r="V276">
        <v>0</v>
      </c>
      <c r="W276">
        <v>1020.8418</v>
      </c>
      <c r="X276">
        <v>0.122902133904932</v>
      </c>
      <c r="AA276">
        <f t="shared" si="17"/>
        <v>-0.37411442408012091</v>
      </c>
      <c r="AB276">
        <f t="shared" si="18"/>
        <v>-0.75381930418954357</v>
      </c>
      <c r="AC276" s="13">
        <f t="shared" si="19"/>
        <v>-0.35746970040900555</v>
      </c>
      <c r="AD276" s="13"/>
      <c r="AE276" s="13"/>
      <c r="AF276" s="13"/>
    </row>
    <row r="277" spans="1:32">
      <c r="A277" s="1" t="s">
        <v>582</v>
      </c>
      <c r="B277">
        <v>621.8924542519477</v>
      </c>
      <c r="C277">
        <v>43.191313229022555</v>
      </c>
      <c r="D277">
        <v>1041388.7666666666</v>
      </c>
      <c r="E277">
        <v>899134.86666666658</v>
      </c>
      <c r="F277">
        <v>-142253.9</v>
      </c>
      <c r="G277">
        <v>0.53150912106135983</v>
      </c>
      <c r="H277">
        <v>7.7554318714592105E-2</v>
      </c>
      <c r="I277">
        <v>19.815638197990058</v>
      </c>
      <c r="J277">
        <v>5.6993073394488682</v>
      </c>
      <c r="K277">
        <v>1</v>
      </c>
      <c r="L277" t="e">
        <f t="shared" si="16"/>
        <v>#NUM!</v>
      </c>
      <c r="M277" t="s">
        <v>31</v>
      </c>
      <c r="N277">
        <v>412</v>
      </c>
      <c r="O277">
        <v>8</v>
      </c>
      <c r="P277">
        <v>1239</v>
      </c>
      <c r="Q277">
        <v>162.12981835887101</v>
      </c>
      <c r="R277">
        <v>204.63027830441601</v>
      </c>
      <c r="S277" t="s">
        <v>583</v>
      </c>
      <c r="T277">
        <v>0</v>
      </c>
      <c r="U277">
        <v>0</v>
      </c>
      <c r="V277">
        <v>0</v>
      </c>
      <c r="W277">
        <v>982759.4</v>
      </c>
      <c r="X277">
        <v>2.08220118072049E-4</v>
      </c>
      <c r="Y277">
        <v>8.8583621978759766</v>
      </c>
      <c r="Z277">
        <v>10.49278450012207</v>
      </c>
      <c r="AA277">
        <f t="shared" si="17"/>
        <v>-9.7413794455070697</v>
      </c>
      <c r="AB277">
        <f t="shared" si="18"/>
        <v>-0.78580420647182192</v>
      </c>
      <c r="AC277" s="13">
        <f t="shared" si="19"/>
        <v>-0.29661244362548478</v>
      </c>
      <c r="AD277" s="13"/>
      <c r="AE277" s="13"/>
      <c r="AF277" s="13"/>
    </row>
    <row r="278" spans="1:32">
      <c r="A278" s="1" t="s">
        <v>584</v>
      </c>
      <c r="B278">
        <v>6176.5779225628867</v>
      </c>
      <c r="C278">
        <v>142.5381044748612</v>
      </c>
      <c r="D278">
        <v>161948.93000000002</v>
      </c>
      <c r="E278">
        <v>153427.76999999999</v>
      </c>
      <c r="F278">
        <v>-8521.1600000000035</v>
      </c>
      <c r="G278">
        <v>0.51206434316353888</v>
      </c>
      <c r="H278">
        <v>0.1911814067405769</v>
      </c>
      <c r="I278">
        <v>18.718982854629513</v>
      </c>
      <c r="J278">
        <v>8.5118679802454018</v>
      </c>
      <c r="K278">
        <v>1</v>
      </c>
      <c r="L278" t="e">
        <f t="shared" si="16"/>
        <v>#NUM!</v>
      </c>
      <c r="M278" t="s">
        <v>31</v>
      </c>
      <c r="N278">
        <v>383</v>
      </c>
      <c r="O278">
        <v>25</v>
      </c>
      <c r="P278">
        <v>1152</v>
      </c>
      <c r="Q278">
        <v>544.91874171723498</v>
      </c>
      <c r="R278">
        <v>687.76289827249298</v>
      </c>
      <c r="S278" t="s">
        <v>585</v>
      </c>
      <c r="T278">
        <v>4</v>
      </c>
      <c r="U278">
        <v>489.775927513162</v>
      </c>
      <c r="V278">
        <v>0.78021305252846795</v>
      </c>
      <c r="W278">
        <v>156934.81</v>
      </c>
      <c r="X278">
        <v>4.3824751071638796E-3</v>
      </c>
      <c r="Y278">
        <v>10.19416522979736</v>
      </c>
      <c r="Z278">
        <v>9.792816162109375</v>
      </c>
      <c r="AA278">
        <f t="shared" si="17"/>
        <v>-0.91748342388112836</v>
      </c>
      <c r="AB278">
        <f t="shared" si="18"/>
        <v>-0.77410465861995614</v>
      </c>
      <c r="AC278" s="13">
        <f t="shared" si="19"/>
        <v>7.478294348762686E-2</v>
      </c>
      <c r="AD278" s="13"/>
      <c r="AE278" s="13"/>
      <c r="AF278" s="13"/>
    </row>
    <row r="279" spans="1:32">
      <c r="A279" s="1" t="s">
        <v>586</v>
      </c>
      <c r="B279">
        <v>4347.0544012010787</v>
      </c>
      <c r="C279">
        <v>519.72813519911278</v>
      </c>
      <c r="D279">
        <v>807278.38333333342</v>
      </c>
      <c r="E279">
        <v>728439.06666666677</v>
      </c>
      <c r="F279">
        <v>-78839.316666666695</v>
      </c>
      <c r="G279">
        <v>0.6737967914438503</v>
      </c>
      <c r="H279">
        <v>1.7612708984557901</v>
      </c>
      <c r="I279">
        <v>0.25608685196026815</v>
      </c>
      <c r="J279">
        <v>4.8040582320911809E-2</v>
      </c>
      <c r="K279">
        <v>9.2511032447654233E-3</v>
      </c>
      <c r="L279" t="e">
        <f t="shared" si="16"/>
        <v>#NUM!</v>
      </c>
      <c r="M279" t="s">
        <v>31</v>
      </c>
      <c r="N279">
        <v>384</v>
      </c>
      <c r="O279">
        <v>12</v>
      </c>
      <c r="P279">
        <v>1155</v>
      </c>
      <c r="Q279">
        <v>260.88161681382002</v>
      </c>
      <c r="R279">
        <v>329.26872054437899</v>
      </c>
      <c r="S279" t="s">
        <v>587</v>
      </c>
      <c r="T279">
        <v>2</v>
      </c>
      <c r="U279">
        <v>244.887963756581</v>
      </c>
      <c r="V279">
        <v>0.81272192971715396</v>
      </c>
      <c r="W279">
        <v>634648.69999999995</v>
      </c>
      <c r="X279">
        <v>5.1882044435666401E-4</v>
      </c>
      <c r="Y279">
        <v>9.0490808486938477</v>
      </c>
      <c r="Z279">
        <v>10.693868637084959</v>
      </c>
      <c r="AA279">
        <f t="shared" si="17"/>
        <v>-5.5571857350658833</v>
      </c>
      <c r="AB279">
        <f t="shared" si="18"/>
        <v>-0.61244129595565167</v>
      </c>
      <c r="AC279" s="13">
        <f t="shared" si="19"/>
        <v>-0.20079994703201359</v>
      </c>
      <c r="AD279" s="13"/>
      <c r="AE279" s="13"/>
      <c r="AF279" s="13"/>
    </row>
    <row r="280" spans="1:32">
      <c r="A280" s="1" t="s">
        <v>588</v>
      </c>
      <c r="B280">
        <v>5503.4599017324754</v>
      </c>
      <c r="C280">
        <v>183.82043694018645</v>
      </c>
      <c r="D280">
        <v>31393.989666666665</v>
      </c>
      <c r="E280">
        <v>29923.411333333333</v>
      </c>
      <c r="F280">
        <v>-1470.5783333333311</v>
      </c>
      <c r="G280">
        <v>0.54093567251461994</v>
      </c>
      <c r="H280">
        <v>0.22658916649442196</v>
      </c>
      <c r="I280">
        <v>7.4700771262428967E-2</v>
      </c>
      <c r="J280">
        <v>1.6741030715174916E-2</v>
      </c>
      <c r="K280">
        <v>1</v>
      </c>
      <c r="L280" t="e">
        <f t="shared" si="16"/>
        <v>#NUM!</v>
      </c>
      <c r="M280" t="s">
        <v>31</v>
      </c>
      <c r="N280">
        <v>352</v>
      </c>
      <c r="O280">
        <v>2</v>
      </c>
      <c r="P280">
        <v>1059</v>
      </c>
      <c r="Q280">
        <v>47.421823641794496</v>
      </c>
      <c r="R280">
        <v>59.852907181107597</v>
      </c>
      <c r="S280" t="s">
        <v>589</v>
      </c>
      <c r="T280">
        <v>1</v>
      </c>
      <c r="U280">
        <v>122.44398187829</v>
      </c>
      <c r="V280">
        <v>2.4381657891514599</v>
      </c>
      <c r="W280">
        <v>34373.527000000002</v>
      </c>
      <c r="X280">
        <v>1.74125009578178E-3</v>
      </c>
      <c r="Y280">
        <v>11.11557197570801</v>
      </c>
      <c r="Z280">
        <v>9.7233991622924805</v>
      </c>
      <c r="AA280">
        <f t="shared" si="17"/>
        <v>-0.45227498263742943</v>
      </c>
      <c r="AB280">
        <f t="shared" si="18"/>
        <v>-0.77045891897491003</v>
      </c>
      <c r="AC280" s="13">
        <f t="shared" si="19"/>
        <v>-0.4079062076381747</v>
      </c>
      <c r="AD280" s="13"/>
      <c r="AE280" s="13"/>
      <c r="AF280" s="13"/>
    </row>
    <row r="281" spans="1:32">
      <c r="A281" s="1" t="s">
        <v>590</v>
      </c>
      <c r="B281">
        <v>942.04103363848765</v>
      </c>
      <c r="C281">
        <v>145.5347766365752</v>
      </c>
      <c r="D281">
        <v>107730.60800000001</v>
      </c>
      <c r="E281">
        <v>87096.94266666667</v>
      </c>
      <c r="F281">
        <v>-20633.665333333331</v>
      </c>
      <c r="G281">
        <v>0.41597028783658307</v>
      </c>
      <c r="H281">
        <v>0.11502067531821535</v>
      </c>
      <c r="I281">
        <v>7.5075053831873018E-2</v>
      </c>
      <c r="J281">
        <v>4.4049103902925386E-2</v>
      </c>
      <c r="K281">
        <v>1</v>
      </c>
      <c r="L281" t="e">
        <f t="shared" si="16"/>
        <v>#NUM!</v>
      </c>
      <c r="M281" t="s">
        <v>31</v>
      </c>
      <c r="N281">
        <v>369</v>
      </c>
      <c r="O281">
        <v>9</v>
      </c>
      <c r="P281">
        <v>1110</v>
      </c>
      <c r="Q281">
        <v>203.59342393240601</v>
      </c>
      <c r="R281">
        <v>256.96308934375497</v>
      </c>
      <c r="S281" t="s">
        <v>591</v>
      </c>
      <c r="T281">
        <v>4</v>
      </c>
      <c r="U281">
        <v>489.775927513162</v>
      </c>
      <c r="V281">
        <v>2.1672584792457399</v>
      </c>
      <c r="W281">
        <v>113113.56</v>
      </c>
      <c r="X281">
        <v>2.2717266554403799E-3</v>
      </c>
      <c r="Y281">
        <v>9.1496763229370117</v>
      </c>
      <c r="Z281">
        <v>10.94626998901367</v>
      </c>
      <c r="AA281">
        <f t="shared" si="17"/>
        <v>-1.7166855311790341</v>
      </c>
      <c r="AB281">
        <f t="shared" si="18"/>
        <v>-0.78194650458458426</v>
      </c>
      <c r="AC281" s="13">
        <f t="shared" si="19"/>
        <v>-0.25638298320122999</v>
      </c>
      <c r="AD281" s="13"/>
      <c r="AE281" s="13"/>
      <c r="AF281" s="13"/>
    </row>
    <row r="282" spans="1:32">
      <c r="A282" s="1" t="s">
        <v>592</v>
      </c>
      <c r="B282">
        <v>934.60913285138849</v>
      </c>
      <c r="C282">
        <v>78.609600824841891</v>
      </c>
      <c r="D282">
        <v>17816.785</v>
      </c>
      <c r="E282">
        <v>13007.935666666666</v>
      </c>
      <c r="F282">
        <v>-4808.8493333333345</v>
      </c>
      <c r="G282">
        <v>0.42828882294757664</v>
      </c>
      <c r="H282">
        <v>11.625946152165056</v>
      </c>
      <c r="I282">
        <v>7.0766547209794875E-2</v>
      </c>
      <c r="J282">
        <v>3.849094079442586E-2</v>
      </c>
      <c r="K282">
        <v>0</v>
      </c>
      <c r="L282" t="e">
        <f t="shared" si="16"/>
        <v>#NUM!</v>
      </c>
      <c r="M282" t="s">
        <v>31</v>
      </c>
      <c r="N282">
        <v>347</v>
      </c>
      <c r="O282">
        <v>8</v>
      </c>
      <c r="P282">
        <v>1044</v>
      </c>
      <c r="Q282">
        <v>192.41268673049899</v>
      </c>
      <c r="R282">
        <v>242.85145097621799</v>
      </c>
      <c r="S282" t="s">
        <v>593</v>
      </c>
      <c r="T282">
        <v>0</v>
      </c>
      <c r="U282">
        <v>0</v>
      </c>
      <c r="V282">
        <v>0</v>
      </c>
      <c r="W282">
        <v>17443.143</v>
      </c>
      <c r="X282">
        <v>1.39224594430154E-2</v>
      </c>
      <c r="Y282">
        <v>9.5901584625244141</v>
      </c>
      <c r="Z282">
        <v>12.45622730255127</v>
      </c>
      <c r="AA282">
        <f t="shared" si="17"/>
        <v>-0.67253934120818237</v>
      </c>
      <c r="AB282">
        <f t="shared" si="18"/>
        <v>0.40326932533118398</v>
      </c>
      <c r="AC282" s="13">
        <f t="shared" si="19"/>
        <v>-0.26723093090274885</v>
      </c>
      <c r="AD282" s="13"/>
      <c r="AE282" s="13"/>
      <c r="AF282" s="13"/>
    </row>
    <row r="283" spans="1:32">
      <c r="A283" s="1" t="s">
        <v>594</v>
      </c>
      <c r="B283">
        <v>2237.1700745667431</v>
      </c>
      <c r="C283">
        <v>656.33779536225506</v>
      </c>
      <c r="D283">
        <v>98039.416666666672</v>
      </c>
      <c r="E283">
        <v>85737.938000000009</v>
      </c>
      <c r="F283">
        <v>-12301.478666666668</v>
      </c>
      <c r="G283">
        <v>0.58377425044091713</v>
      </c>
      <c r="H283">
        <v>0.29361455976882961</v>
      </c>
      <c r="I283">
        <v>7.6724847991993084E-2</v>
      </c>
      <c r="J283">
        <v>4.0243374051323097E-2</v>
      </c>
      <c r="K283">
        <v>1</v>
      </c>
      <c r="L283" t="e">
        <f t="shared" si="16"/>
        <v>#NUM!</v>
      </c>
      <c r="M283" t="s">
        <v>31</v>
      </c>
      <c r="N283">
        <v>388</v>
      </c>
      <c r="O283">
        <v>39</v>
      </c>
      <c r="P283">
        <v>1167</v>
      </c>
      <c r="Q283">
        <v>839.14684585679299</v>
      </c>
      <c r="R283">
        <v>1059.1195027793101</v>
      </c>
      <c r="S283" t="s">
        <v>595</v>
      </c>
      <c r="T283">
        <v>5</v>
      </c>
      <c r="U283">
        <v>612.21990939145303</v>
      </c>
      <c r="V283">
        <v>0.62517071516704104</v>
      </c>
      <c r="W283">
        <v>89909.414000000004</v>
      </c>
      <c r="X283">
        <v>1.17798510262709E-2</v>
      </c>
      <c r="Y283">
        <v>11.51799964904785</v>
      </c>
      <c r="Z283">
        <v>7.0240302085876456</v>
      </c>
      <c r="AA283">
        <f t="shared" si="17"/>
        <v>-1.1669147811035876</v>
      </c>
      <c r="AB283">
        <f t="shared" si="18"/>
        <v>-0.76355768785540168</v>
      </c>
      <c r="AC283" s="13">
        <f t="shared" si="19"/>
        <v>0.36025348343364755</v>
      </c>
      <c r="AD283" s="13"/>
      <c r="AE283" s="13"/>
      <c r="AF283" s="13"/>
    </row>
    <row r="284" spans="1:32">
      <c r="A284" s="1" t="s">
        <v>596</v>
      </c>
      <c r="B284">
        <v>1159.2927786673583</v>
      </c>
      <c r="C284">
        <v>67.413568369544436</v>
      </c>
      <c r="D284">
        <v>1496.6502866666667</v>
      </c>
      <c r="E284">
        <v>1316.3059866666665</v>
      </c>
      <c r="F284">
        <v>-180.34429999999989</v>
      </c>
      <c r="G284">
        <v>0.37954768928220256</v>
      </c>
      <c r="H284">
        <v>20.74108897411897</v>
      </c>
      <c r="I284">
        <v>7.6788111761290176E-2</v>
      </c>
      <c r="J284">
        <v>1.8966228158187267E-2</v>
      </c>
      <c r="K284">
        <v>0</v>
      </c>
      <c r="L284" t="e">
        <f t="shared" si="16"/>
        <v>#NUM!</v>
      </c>
      <c r="M284" t="s">
        <v>31</v>
      </c>
      <c r="N284">
        <v>349</v>
      </c>
      <c r="O284">
        <v>4</v>
      </c>
      <c r="P284">
        <v>1050</v>
      </c>
      <c r="Q284">
        <v>95.656592831734002</v>
      </c>
      <c r="R284">
        <v>120.731864199605</v>
      </c>
      <c r="S284" t="s">
        <v>597</v>
      </c>
      <c r="T284">
        <v>0</v>
      </c>
      <c r="U284">
        <v>0</v>
      </c>
      <c r="V284">
        <v>0</v>
      </c>
      <c r="W284">
        <v>2684.2694999999999</v>
      </c>
      <c r="X284">
        <v>4.4977549459771303E-2</v>
      </c>
      <c r="Y284">
        <v>12.190211296081539</v>
      </c>
      <c r="Z284">
        <v>13.6745662689209</v>
      </c>
      <c r="AA284">
        <f t="shared" si="17"/>
        <v>-0.36714331664676497</v>
      </c>
      <c r="AB284">
        <f t="shared" si="18"/>
        <v>1.3418047703093419</v>
      </c>
      <c r="AC284" s="13">
        <f t="shared" si="19"/>
        <v>-0.36110712416825402</v>
      </c>
      <c r="AD284" s="13"/>
      <c r="AE284" s="13"/>
      <c r="AF284" s="13"/>
    </row>
    <row r="285" spans="1:32">
      <c r="A285" s="1" t="s">
        <v>598</v>
      </c>
      <c r="B285">
        <v>6282.5972577567891</v>
      </c>
      <c r="C285">
        <v>105.9756778734819</v>
      </c>
      <c r="D285">
        <v>43158.873333333329</v>
      </c>
      <c r="E285">
        <v>28116.528999999999</v>
      </c>
      <c r="F285">
        <v>-15042.344333333333</v>
      </c>
      <c r="G285">
        <v>0.55446355446355444</v>
      </c>
      <c r="H285">
        <v>0.19404579561145785</v>
      </c>
      <c r="I285">
        <v>8.4751879607616445E-2</v>
      </c>
      <c r="J285">
        <v>3.7894350774541084E-2</v>
      </c>
      <c r="K285">
        <v>1</v>
      </c>
      <c r="L285" t="e">
        <f t="shared" si="16"/>
        <v>#NUM!</v>
      </c>
      <c r="M285" t="s">
        <v>31</v>
      </c>
      <c r="N285">
        <v>417</v>
      </c>
      <c r="O285">
        <v>13</v>
      </c>
      <c r="P285">
        <v>1254</v>
      </c>
      <c r="Q285">
        <v>260.30950800501802</v>
      </c>
      <c r="R285">
        <v>328.54664001686899</v>
      </c>
      <c r="S285" t="s">
        <v>599</v>
      </c>
      <c r="T285">
        <v>1</v>
      </c>
      <c r="U285">
        <v>122.44398187829</v>
      </c>
      <c r="V285">
        <v>0.37510242910022501</v>
      </c>
      <c r="W285">
        <v>39752.199999999997</v>
      </c>
      <c r="X285">
        <v>8.2648668505609594E-3</v>
      </c>
      <c r="Y285">
        <v>11.21632194519043</v>
      </c>
      <c r="Z285">
        <v>8.4262418746948242</v>
      </c>
      <c r="AA285">
        <f t="shared" si="17"/>
        <v>-1.3477613984084533</v>
      </c>
      <c r="AB285">
        <f t="shared" si="18"/>
        <v>-0.77380972846515406</v>
      </c>
      <c r="AC285" s="13">
        <f t="shared" si="19"/>
        <v>-0.2013550272852552</v>
      </c>
      <c r="AD285" s="13"/>
      <c r="AE285" s="13"/>
      <c r="AF285" s="13"/>
    </row>
    <row r="286" spans="1:32">
      <c r="A286" s="1" t="s">
        <v>600</v>
      </c>
      <c r="B286">
        <v>1189.7606819797138</v>
      </c>
      <c r="C286">
        <v>22.318489120222601</v>
      </c>
      <c r="D286">
        <v>6773.5243999999993</v>
      </c>
      <c r="E286">
        <v>5829.424766666667</v>
      </c>
      <c r="F286">
        <v>-944.09963333333337</v>
      </c>
      <c r="G286">
        <v>0.44137353433835846</v>
      </c>
      <c r="H286">
        <v>18.039271847203981</v>
      </c>
      <c r="I286">
        <v>0.71082870854122293</v>
      </c>
      <c r="J286">
        <v>0.33535667093156246</v>
      </c>
      <c r="K286">
        <v>0</v>
      </c>
      <c r="L286" t="e">
        <f t="shared" si="16"/>
        <v>#NUM!</v>
      </c>
      <c r="M286" t="s">
        <v>31</v>
      </c>
      <c r="N286">
        <v>408</v>
      </c>
      <c r="O286">
        <v>10</v>
      </c>
      <c r="P286">
        <v>1227</v>
      </c>
      <c r="Q286">
        <v>204.64430006788999</v>
      </c>
      <c r="R286">
        <v>258.28944052482802</v>
      </c>
      <c r="S286" t="s">
        <v>601</v>
      </c>
      <c r="T286">
        <v>0</v>
      </c>
      <c r="U286">
        <v>0</v>
      </c>
      <c r="V286">
        <v>0</v>
      </c>
      <c r="W286">
        <v>10036.31</v>
      </c>
      <c r="X286">
        <v>2.57354984575833E-2</v>
      </c>
      <c r="Y286">
        <v>8.1707658767700195</v>
      </c>
      <c r="Z286">
        <v>11.48219585418701</v>
      </c>
      <c r="AA286">
        <f t="shared" si="17"/>
        <v>-0.41753709192793842</v>
      </c>
      <c r="AB286">
        <f t="shared" si="18"/>
        <v>1.0636137217443775</v>
      </c>
      <c r="AC286" s="13">
        <f t="shared" si="19"/>
        <v>-0.25536338591058272</v>
      </c>
      <c r="AD286" s="13"/>
      <c r="AE286" s="13"/>
      <c r="AF286" s="13"/>
    </row>
    <row r="287" spans="1:32">
      <c r="A287" s="1" t="s">
        <v>602</v>
      </c>
      <c r="B287">
        <v>5706.9924353595852</v>
      </c>
      <c r="C287">
        <v>85.001005255019933</v>
      </c>
      <c r="D287">
        <v>21188.918666666665</v>
      </c>
      <c r="E287">
        <v>19713.227333333332</v>
      </c>
      <c r="F287">
        <v>-1475.691333333333</v>
      </c>
      <c r="G287">
        <v>0.47731239092495636</v>
      </c>
      <c r="H287">
        <v>1.548907300528154</v>
      </c>
      <c r="I287">
        <v>7.0927834153362998E-2</v>
      </c>
      <c r="J287">
        <v>3.9107229486374774E-2</v>
      </c>
      <c r="K287">
        <v>4.2791525448276647E-30</v>
      </c>
      <c r="L287" t="e">
        <f t="shared" si="16"/>
        <v>#NUM!</v>
      </c>
      <c r="M287" t="s">
        <v>31</v>
      </c>
      <c r="N287">
        <v>774</v>
      </c>
      <c r="O287">
        <v>15</v>
      </c>
      <c r="P287">
        <v>2325</v>
      </c>
      <c r="Q287">
        <v>161.99906850535601</v>
      </c>
      <c r="R287">
        <v>204.465253886429</v>
      </c>
      <c r="S287" t="s">
        <v>603</v>
      </c>
      <c r="T287">
        <v>1</v>
      </c>
      <c r="U287">
        <v>122.44398187829</v>
      </c>
      <c r="V287">
        <v>0.32508877188686103</v>
      </c>
      <c r="W287">
        <v>30859.893</v>
      </c>
      <c r="X287">
        <v>6.6255982769100599E-3</v>
      </c>
      <c r="Y287">
        <v>5.944206714630127</v>
      </c>
      <c r="Z287">
        <v>7.7703409194946289</v>
      </c>
      <c r="AA287">
        <f t="shared" si="17"/>
        <v>-0.45261234640009962</v>
      </c>
      <c r="AB287">
        <f t="shared" si="18"/>
        <v>-0.63430719183587136</v>
      </c>
      <c r="AC287" s="13">
        <f t="shared" si="19"/>
        <v>-0.29673930176974656</v>
      </c>
      <c r="AD287" s="13"/>
      <c r="AE287" s="13"/>
      <c r="AF287" s="13"/>
    </row>
    <row r="288" spans="1:32">
      <c r="A288" s="1" t="s">
        <v>604</v>
      </c>
      <c r="B288">
        <v>1116.3009209952033</v>
      </c>
      <c r="C288">
        <v>83.063319533407451</v>
      </c>
      <c r="D288">
        <v>10.129074666666666</v>
      </c>
      <c r="E288">
        <v>10.426302666666666</v>
      </c>
      <c r="F288">
        <v>0.29722800000000049</v>
      </c>
      <c r="G288">
        <v>0.45047923322683703</v>
      </c>
      <c r="H288">
        <v>23.631712396807686</v>
      </c>
      <c r="I288">
        <v>9.654095489732778E-2</v>
      </c>
      <c r="J288">
        <v>4.9104249032449941E-2</v>
      </c>
      <c r="K288">
        <v>0</v>
      </c>
      <c r="L288">
        <f t="shared" si="16"/>
        <v>-0.5269102808041104</v>
      </c>
      <c r="M288" t="s">
        <v>605</v>
      </c>
      <c r="N288">
        <v>323</v>
      </c>
      <c r="O288">
        <v>4</v>
      </c>
      <c r="P288">
        <v>972</v>
      </c>
      <c r="Q288">
        <v>103.332739170083</v>
      </c>
      <c r="R288">
        <v>130.42022367241299</v>
      </c>
      <c r="S288" t="s">
        <v>606</v>
      </c>
      <c r="T288">
        <v>0</v>
      </c>
      <c r="U288">
        <v>0</v>
      </c>
      <c r="V288">
        <v>0</v>
      </c>
      <c r="W288">
        <v>31.278908000000001</v>
      </c>
      <c r="X288">
        <v>4.1695900532209604</v>
      </c>
      <c r="AA288">
        <f t="shared" si="17"/>
        <v>-0.35522430518958825</v>
      </c>
      <c r="AB288">
        <f t="shared" si="18"/>
        <v>1.6394361506694244</v>
      </c>
      <c r="AC288" s="13">
        <f t="shared" si="19"/>
        <v>-0.35365945479512778</v>
      </c>
      <c r="AD288" s="13"/>
      <c r="AE288" s="13"/>
      <c r="AF288" s="13"/>
    </row>
    <row r="289" spans="1:32">
      <c r="A289" s="1" t="s">
        <v>607</v>
      </c>
      <c r="B289">
        <v>1053.3649412642701</v>
      </c>
      <c r="C289">
        <v>58.1577129834278</v>
      </c>
      <c r="D289">
        <v>11.009862333333333</v>
      </c>
      <c r="E289">
        <v>13.269853333333332</v>
      </c>
      <c r="F289">
        <v>2.2599909999999994</v>
      </c>
      <c r="G289">
        <v>0.4587352625937835</v>
      </c>
      <c r="H289">
        <v>22.898544010494927</v>
      </c>
      <c r="I289">
        <v>7.3592116429382917E-2</v>
      </c>
      <c r="J289">
        <v>4.2506474908656257E-2</v>
      </c>
      <c r="K289">
        <v>0</v>
      </c>
      <c r="L289">
        <f t="shared" si="16"/>
        <v>0.3541067096526575</v>
      </c>
      <c r="M289" t="s">
        <v>605</v>
      </c>
      <c r="N289">
        <v>321</v>
      </c>
      <c r="O289">
        <v>1</v>
      </c>
      <c r="P289">
        <v>966</v>
      </c>
      <c r="Q289">
        <v>25.9936393564494</v>
      </c>
      <c r="R289">
        <v>32.807571793371103</v>
      </c>
      <c r="S289" t="s">
        <v>608</v>
      </c>
      <c r="T289">
        <v>0</v>
      </c>
      <c r="U289">
        <v>0</v>
      </c>
      <c r="V289">
        <v>0</v>
      </c>
      <c r="W289">
        <v>39.809559999999998</v>
      </c>
      <c r="X289">
        <v>0.82411289633372198</v>
      </c>
      <c r="Y289">
        <v>10.280710220336911</v>
      </c>
      <c r="Z289">
        <v>11.98907947540283</v>
      </c>
      <c r="AA289">
        <f t="shared" si="17"/>
        <v>-0.35509479900712998</v>
      </c>
      <c r="AB289">
        <f t="shared" si="18"/>
        <v>1.5639458889003321</v>
      </c>
      <c r="AC289" s="13">
        <f t="shared" si="19"/>
        <v>-0.42869659187386566</v>
      </c>
      <c r="AD289" s="13"/>
      <c r="AE289" s="13"/>
      <c r="AF289" s="13"/>
    </row>
    <row r="290" spans="1:32">
      <c r="A290" s="1" t="s">
        <v>609</v>
      </c>
      <c r="B290">
        <v>834.42037859351228</v>
      </c>
      <c r="C290">
        <v>130.25807587746158</v>
      </c>
      <c r="D290">
        <v>0</v>
      </c>
      <c r="E290">
        <v>2.3204668333333331</v>
      </c>
      <c r="F290">
        <v>2.3204668333333331</v>
      </c>
      <c r="G290">
        <v>0.4567901234567901</v>
      </c>
      <c r="H290">
        <v>15.966588954967753</v>
      </c>
      <c r="I290">
        <v>20.042705774324336</v>
      </c>
      <c r="J290">
        <v>5.8927024365857861</v>
      </c>
      <c r="K290">
        <v>0</v>
      </c>
      <c r="L290">
        <f t="shared" si="16"/>
        <v>0.36557536538454427</v>
      </c>
      <c r="M290" t="s">
        <v>605</v>
      </c>
      <c r="N290">
        <v>334</v>
      </c>
      <c r="O290">
        <v>8</v>
      </c>
      <c r="P290">
        <v>1005</v>
      </c>
      <c r="Q290">
        <v>199.879447708101</v>
      </c>
      <c r="R290">
        <v>252.275537133504</v>
      </c>
      <c r="S290" t="s">
        <v>610</v>
      </c>
      <c r="T290">
        <v>0</v>
      </c>
      <c r="U290">
        <v>0</v>
      </c>
      <c r="V290">
        <v>0</v>
      </c>
      <c r="W290">
        <v>0</v>
      </c>
      <c r="X290" t="s">
        <v>56</v>
      </c>
      <c r="Y290">
        <v>11.017452239990231</v>
      </c>
      <c r="Z290">
        <v>11.53172588348389</v>
      </c>
      <c r="AA290">
        <f t="shared" si="17"/>
        <v>-0.35509080871675558</v>
      </c>
      <c r="AB290">
        <f t="shared" si="18"/>
        <v>0.85020111828211453</v>
      </c>
      <c r="AC290" s="13">
        <f t="shared" si="19"/>
        <v>-0.25998641463141098</v>
      </c>
      <c r="AD290" s="13"/>
      <c r="AE290" s="13"/>
      <c r="AF290" s="13"/>
    </row>
    <row r="291" spans="1:32">
      <c r="A291" s="1" t="s">
        <v>611</v>
      </c>
      <c r="B291">
        <v>1171.1660798475543</v>
      </c>
      <c r="C291">
        <v>100.52700538862071</v>
      </c>
      <c r="D291">
        <v>289.82464366666665</v>
      </c>
      <c r="E291">
        <v>294.275038</v>
      </c>
      <c r="F291">
        <v>4.4503943333333309</v>
      </c>
      <c r="G291">
        <v>0.46925566343042069</v>
      </c>
      <c r="H291">
        <v>19.286576113030382</v>
      </c>
      <c r="I291">
        <v>7.8721742200786302E-2</v>
      </c>
      <c r="J291">
        <v>3.4190229956636252E-2</v>
      </c>
      <c r="K291">
        <v>0</v>
      </c>
      <c r="L291">
        <f t="shared" si="16"/>
        <v>0.64839849394795401</v>
      </c>
      <c r="M291" t="s">
        <v>605</v>
      </c>
      <c r="N291">
        <v>319</v>
      </c>
      <c r="O291">
        <v>10</v>
      </c>
      <c r="P291">
        <v>960</v>
      </c>
      <c r="Q291">
        <v>261.56099602427201</v>
      </c>
      <c r="R291">
        <v>330.12619117079601</v>
      </c>
      <c r="S291" t="s">
        <v>612</v>
      </c>
      <c r="T291">
        <v>0</v>
      </c>
      <c r="U291">
        <v>0</v>
      </c>
      <c r="V291">
        <v>0</v>
      </c>
      <c r="W291">
        <v>679.60969999999998</v>
      </c>
      <c r="X291">
        <v>0.48575850399250697</v>
      </c>
      <c r="AA291">
        <f t="shared" si="17"/>
        <v>-0.35495027275829399</v>
      </c>
      <c r="AB291">
        <f t="shared" si="18"/>
        <v>1.1920416890309722</v>
      </c>
      <c r="AC291" s="13">
        <f t="shared" si="19"/>
        <v>-0.20014078923128956</v>
      </c>
      <c r="AD291" s="13"/>
      <c r="AE291" s="13"/>
      <c r="AF291" s="13"/>
    </row>
    <row r="292" spans="1:32">
      <c r="A292" s="1" t="s">
        <v>613</v>
      </c>
      <c r="B292">
        <v>936.54459960059285</v>
      </c>
      <c r="C292">
        <v>278.20391602298002</v>
      </c>
      <c r="D292">
        <v>670.69337000000007</v>
      </c>
      <c r="E292">
        <v>675.44292666666661</v>
      </c>
      <c r="F292">
        <v>4.7495566666665736</v>
      </c>
      <c r="G292">
        <v>0.46394984326018807</v>
      </c>
      <c r="H292">
        <v>20.324320783934713</v>
      </c>
      <c r="I292">
        <v>0.10914356951863234</v>
      </c>
      <c r="J292">
        <v>2.8371976533752109E-2</v>
      </c>
      <c r="K292">
        <v>0</v>
      </c>
      <c r="L292">
        <f t="shared" si="16"/>
        <v>0.67665307358150228</v>
      </c>
      <c r="M292" t="s">
        <v>605</v>
      </c>
      <c r="N292">
        <v>329</v>
      </c>
      <c r="O292">
        <v>1</v>
      </c>
      <c r="P292">
        <v>990</v>
      </c>
      <c r="Q292">
        <v>25.363490523565801</v>
      </c>
      <c r="R292">
        <v>32.012236719592401</v>
      </c>
      <c r="S292" t="s">
        <v>614</v>
      </c>
      <c r="T292">
        <v>0</v>
      </c>
      <c r="U292">
        <v>0</v>
      </c>
      <c r="V292">
        <v>0</v>
      </c>
      <c r="W292">
        <v>1549.7211</v>
      </c>
      <c r="X292">
        <v>2.0656772834539299E-2</v>
      </c>
      <c r="Y292">
        <v>9.169032096862793</v>
      </c>
      <c r="Z292">
        <v>12.77764415740967</v>
      </c>
      <c r="AA292">
        <f t="shared" si="17"/>
        <v>-0.35493053355813314</v>
      </c>
      <c r="AB292">
        <f t="shared" si="18"/>
        <v>1.2988924729962126</v>
      </c>
      <c r="AC292" s="13">
        <f t="shared" si="19"/>
        <v>-0.42930798461656677</v>
      </c>
      <c r="AD292" s="13"/>
      <c r="AE292" s="13"/>
      <c r="AF292" s="13"/>
    </row>
    <row r="293" spans="1:32">
      <c r="A293" s="1" t="s">
        <v>615</v>
      </c>
      <c r="B293">
        <v>884.86953874802612</v>
      </c>
      <c r="C293">
        <v>177.1885896845744</v>
      </c>
      <c r="D293">
        <v>44.773333333333333</v>
      </c>
      <c r="E293">
        <v>49.661965333333335</v>
      </c>
      <c r="F293">
        <v>4.8886320000000012</v>
      </c>
      <c r="G293">
        <v>0.46875</v>
      </c>
      <c r="H293">
        <v>18.671184971196507</v>
      </c>
      <c r="I293">
        <v>8.8587923558256274E-2</v>
      </c>
      <c r="J293">
        <v>5.5106152475027016E-2</v>
      </c>
      <c r="K293">
        <v>0</v>
      </c>
      <c r="L293">
        <f t="shared" si="16"/>
        <v>0.6891873462463346</v>
      </c>
      <c r="M293" t="s">
        <v>605</v>
      </c>
      <c r="N293">
        <v>330</v>
      </c>
      <c r="O293">
        <v>10</v>
      </c>
      <c r="P293">
        <v>993</v>
      </c>
      <c r="Q293">
        <v>252.86863663977999</v>
      </c>
      <c r="R293">
        <v>319.155230134909</v>
      </c>
      <c r="S293" t="s">
        <v>616</v>
      </c>
      <c r="T293">
        <v>0</v>
      </c>
      <c r="U293">
        <v>0</v>
      </c>
      <c r="V293">
        <v>0</v>
      </c>
      <c r="W293">
        <v>34.122456</v>
      </c>
      <c r="X293">
        <v>9.3532314946763897</v>
      </c>
      <c r="Y293">
        <v>9.7272510528564453</v>
      </c>
      <c r="Z293">
        <v>12.01426887512207</v>
      </c>
      <c r="AA293">
        <f t="shared" si="17"/>
        <v>-0.35492135714942041</v>
      </c>
      <c r="AB293">
        <f t="shared" si="18"/>
        <v>1.1286782935890931</v>
      </c>
      <c r="AC293" s="13">
        <f t="shared" si="19"/>
        <v>-0.20857442453663352</v>
      </c>
      <c r="AD293" s="13"/>
      <c r="AE293" s="13"/>
      <c r="AF293" s="13"/>
    </row>
    <row r="294" spans="1:32">
      <c r="A294" s="1" t="s">
        <v>617</v>
      </c>
      <c r="B294">
        <v>936.13694516173643</v>
      </c>
      <c r="C294">
        <v>54.495588857973921</v>
      </c>
      <c r="D294">
        <v>23.487592000000003</v>
      </c>
      <c r="E294">
        <v>28.435406666666665</v>
      </c>
      <c r="F294">
        <v>4.9478146666666634</v>
      </c>
      <c r="G294">
        <v>0.45010615711252655</v>
      </c>
      <c r="H294">
        <v>15.901619455880001</v>
      </c>
      <c r="I294">
        <v>0.34134007203269823</v>
      </c>
      <c r="J294">
        <v>0.10768938110871215</v>
      </c>
      <c r="K294">
        <v>0</v>
      </c>
      <c r="L294">
        <f t="shared" si="16"/>
        <v>0.69441342362655967</v>
      </c>
      <c r="M294" t="s">
        <v>605</v>
      </c>
      <c r="N294">
        <v>324</v>
      </c>
      <c r="O294">
        <v>4</v>
      </c>
      <c r="P294">
        <v>975</v>
      </c>
      <c r="Q294">
        <v>103.014792280329</v>
      </c>
      <c r="R294">
        <v>130.018930676498</v>
      </c>
      <c r="S294" t="s">
        <v>618</v>
      </c>
      <c r="T294">
        <v>0</v>
      </c>
      <c r="U294">
        <v>0</v>
      </c>
      <c r="V294">
        <v>0</v>
      </c>
      <c r="W294">
        <v>85.306219999999996</v>
      </c>
      <c r="X294">
        <v>1.52414361668467</v>
      </c>
      <c r="Y294">
        <v>12.180684089660639</v>
      </c>
      <c r="Z294">
        <v>12.89856052398682</v>
      </c>
      <c r="AA294">
        <f t="shared" si="17"/>
        <v>-0.35491745218421183</v>
      </c>
      <c r="AB294">
        <f t="shared" si="18"/>
        <v>0.84351157112664155</v>
      </c>
      <c r="AC294" s="13">
        <f t="shared" si="19"/>
        <v>-0.35396793814194361</v>
      </c>
      <c r="AD294" s="13"/>
      <c r="AE294" s="13"/>
      <c r="AF294" s="13"/>
    </row>
    <row r="295" spans="1:32">
      <c r="A295" s="3" t="s">
        <v>619</v>
      </c>
      <c r="B295">
        <v>1227.6764811139328</v>
      </c>
      <c r="C295">
        <v>90.016684629040171</v>
      </c>
      <c r="D295">
        <v>274.41452399999997</v>
      </c>
      <c r="E295">
        <v>279.82509333333331</v>
      </c>
      <c r="F295">
        <v>5.410569333333342</v>
      </c>
      <c r="G295">
        <v>0.40491452991452992</v>
      </c>
      <c r="H295">
        <v>89.811981661057075</v>
      </c>
      <c r="I295">
        <v>9.1255789753653467</v>
      </c>
      <c r="J295">
        <v>5.2397670058858488</v>
      </c>
      <c r="K295">
        <v>0</v>
      </c>
      <c r="L295">
        <f t="shared" si="16"/>
        <v>0.73324296664364119</v>
      </c>
      <c r="M295" t="s">
        <v>605</v>
      </c>
      <c r="N295">
        <v>322</v>
      </c>
      <c r="O295">
        <v>4</v>
      </c>
      <c r="P295">
        <v>969</v>
      </c>
      <c r="Q295">
        <v>103.652654771228</v>
      </c>
      <c r="R295">
        <v>130.824001454681</v>
      </c>
      <c r="S295" t="s">
        <v>620</v>
      </c>
      <c r="T295">
        <v>0</v>
      </c>
      <c r="U295">
        <v>0</v>
      </c>
      <c r="V295">
        <v>0</v>
      </c>
      <c r="W295">
        <v>634.11425999999994</v>
      </c>
      <c r="X295">
        <v>0.20630982412330701</v>
      </c>
      <c r="AA295">
        <f t="shared" si="17"/>
        <v>-0.35488691890520935</v>
      </c>
      <c r="AB295">
        <f t="shared" si="18"/>
        <v>8.4536495619061593</v>
      </c>
      <c r="AC295" s="13">
        <f t="shared" si="19"/>
        <v>-0.35334906133471011</v>
      </c>
      <c r="AD295" s="13"/>
      <c r="AE295" s="13"/>
      <c r="AF295" s="13"/>
    </row>
    <row r="296" spans="1:32">
      <c r="A296" s="1" t="s">
        <v>621</v>
      </c>
      <c r="B296">
        <v>1026.2928853272394</v>
      </c>
      <c r="C296">
        <v>95.646119487236874</v>
      </c>
      <c r="D296">
        <v>98.300458666666671</v>
      </c>
      <c r="E296">
        <v>104.01169</v>
      </c>
      <c r="F296">
        <v>5.7112313333333304</v>
      </c>
      <c r="G296">
        <v>0.42110177404295052</v>
      </c>
      <c r="H296">
        <v>20.169113015666792</v>
      </c>
      <c r="I296">
        <v>0.17031421762533663</v>
      </c>
      <c r="J296">
        <v>5.3488023634273844E-2</v>
      </c>
      <c r="K296">
        <v>0</v>
      </c>
      <c r="L296">
        <f t="shared" si="16"/>
        <v>0.75672975161205147</v>
      </c>
      <c r="M296" t="s">
        <v>605</v>
      </c>
      <c r="N296">
        <v>367</v>
      </c>
      <c r="O296">
        <v>7</v>
      </c>
      <c r="P296">
        <v>1104</v>
      </c>
      <c r="Q296">
        <v>159.21104105825299</v>
      </c>
      <c r="R296">
        <v>200.946377234398</v>
      </c>
      <c r="S296" t="s">
        <v>622</v>
      </c>
      <c r="T296">
        <v>2</v>
      </c>
      <c r="U296">
        <v>244.887963756581</v>
      </c>
      <c r="V296">
        <v>1.3932375938008299</v>
      </c>
      <c r="W296">
        <v>130.80301</v>
      </c>
      <c r="X296">
        <v>1.53625193513817</v>
      </c>
      <c r="Y296">
        <v>9.2630214691162109</v>
      </c>
      <c r="Z296">
        <v>11.974405288696291</v>
      </c>
      <c r="AA296">
        <f t="shared" si="17"/>
        <v>-0.3548670807546887</v>
      </c>
      <c r="AB296">
        <f t="shared" si="18"/>
        <v>1.2829115942869336</v>
      </c>
      <c r="AC296" s="13">
        <f t="shared" si="19"/>
        <v>-0.29944434486220151</v>
      </c>
      <c r="AD296" s="13"/>
      <c r="AE296" s="13"/>
      <c r="AF296" s="13"/>
    </row>
    <row r="297" spans="1:32">
      <c r="A297" s="1" t="s">
        <v>623</v>
      </c>
      <c r="B297">
        <v>1105.8760222206581</v>
      </c>
      <c r="C297">
        <v>372.84945192415773</v>
      </c>
      <c r="D297">
        <v>26.570376666666665</v>
      </c>
      <c r="E297">
        <v>32.403686666666665</v>
      </c>
      <c r="F297">
        <v>5.8333100000000018</v>
      </c>
      <c r="G297">
        <v>0.48089171974522293</v>
      </c>
      <c r="H297">
        <v>16.453458240911242</v>
      </c>
      <c r="I297">
        <v>18.115209246747838</v>
      </c>
      <c r="J297">
        <v>5.1244284591761851</v>
      </c>
      <c r="K297">
        <v>0</v>
      </c>
      <c r="L297">
        <f t="shared" si="16"/>
        <v>0.7659150567852302</v>
      </c>
      <c r="M297" t="s">
        <v>605</v>
      </c>
      <c r="N297">
        <v>324</v>
      </c>
      <c r="O297">
        <v>18</v>
      </c>
      <c r="P297">
        <v>975</v>
      </c>
      <c r="Q297">
        <v>463.56656526147998</v>
      </c>
      <c r="R297">
        <v>585.08518804424295</v>
      </c>
      <c r="S297" t="s">
        <v>624</v>
      </c>
      <c r="T297">
        <v>0</v>
      </c>
      <c r="U297">
        <v>0</v>
      </c>
      <c r="V297">
        <v>0</v>
      </c>
      <c r="W297">
        <v>0</v>
      </c>
      <c r="X297" t="s">
        <v>56</v>
      </c>
      <c r="Y297">
        <v>10.316940307617189</v>
      </c>
      <c r="Z297">
        <v>12.62814426422119</v>
      </c>
      <c r="AA297">
        <f t="shared" si="17"/>
        <v>-0.35485902581271173</v>
      </c>
      <c r="AB297">
        <f t="shared" si="18"/>
        <v>0.90033133465443693</v>
      </c>
      <c r="AC297" s="13">
        <f t="shared" si="19"/>
        <v>-4.1478228527391517E-3</v>
      </c>
      <c r="AD297" s="13"/>
      <c r="AE297" s="13"/>
      <c r="AF297" s="13"/>
    </row>
    <row r="298" spans="1:32">
      <c r="A298" s="1" t="s">
        <v>625</v>
      </c>
      <c r="B298">
        <v>923.09148675159724</v>
      </c>
      <c r="C298">
        <v>136.0466180389034</v>
      </c>
      <c r="D298">
        <v>336.49785000000003</v>
      </c>
      <c r="E298">
        <v>343.90934533333331</v>
      </c>
      <c r="F298">
        <v>7.4114953333333347</v>
      </c>
      <c r="G298">
        <v>0.51249999999999996</v>
      </c>
      <c r="H298">
        <v>24.369991898577627</v>
      </c>
      <c r="I298">
        <v>19.135228992074261</v>
      </c>
      <c r="J298">
        <v>3.215957314964248</v>
      </c>
      <c r="K298">
        <v>0</v>
      </c>
      <c r="L298">
        <f t="shared" si="16"/>
        <v>0.86990583949057199</v>
      </c>
      <c r="M298" t="s">
        <v>605</v>
      </c>
      <c r="N298">
        <v>330</v>
      </c>
      <c r="O298">
        <v>5</v>
      </c>
      <c r="P298">
        <v>993</v>
      </c>
      <c r="Q298">
        <v>126.43431831989</v>
      </c>
      <c r="R298">
        <v>159.57761506745399</v>
      </c>
      <c r="S298" t="s">
        <v>626</v>
      </c>
      <c r="T298">
        <v>0</v>
      </c>
      <c r="U298">
        <v>0</v>
      </c>
      <c r="V298">
        <v>0</v>
      </c>
      <c r="W298">
        <v>511.83895999999999</v>
      </c>
      <c r="X298">
        <v>0.311773091808905</v>
      </c>
      <c r="Y298">
        <v>12.177131652832029</v>
      </c>
      <c r="Z298">
        <v>12.057076454162599</v>
      </c>
      <c r="AA298">
        <f t="shared" si="17"/>
        <v>-0.35475489466813043</v>
      </c>
      <c r="AB298">
        <f t="shared" si="18"/>
        <v>1.7154526755057706</v>
      </c>
      <c r="AC298" s="13">
        <f t="shared" si="19"/>
        <v>-0.33124548352346067</v>
      </c>
      <c r="AD298" s="13"/>
      <c r="AE298" s="13"/>
      <c r="AF298" s="13"/>
    </row>
    <row r="299" spans="1:32">
      <c r="A299" s="1" t="s">
        <v>627</v>
      </c>
      <c r="B299">
        <v>998.61286362615101</v>
      </c>
      <c r="C299">
        <v>114.14534461251306</v>
      </c>
      <c r="D299">
        <v>125.92956966666667</v>
      </c>
      <c r="E299">
        <v>134.27133499999999</v>
      </c>
      <c r="F299">
        <v>8.341765333333333</v>
      </c>
      <c r="G299">
        <v>0.48054679284963198</v>
      </c>
      <c r="H299">
        <v>19.417282015560815</v>
      </c>
      <c r="I299">
        <v>7.2376728232380783E-2</v>
      </c>
      <c r="J299">
        <v>3.4246731774336348E-2</v>
      </c>
      <c r="K299">
        <v>0</v>
      </c>
      <c r="L299">
        <f t="shared" si="16"/>
        <v>0.92125796831106987</v>
      </c>
      <c r="M299" t="s">
        <v>605</v>
      </c>
      <c r="N299">
        <v>327</v>
      </c>
      <c r="O299">
        <v>8</v>
      </c>
      <c r="P299">
        <v>984</v>
      </c>
      <c r="Q299">
        <v>204.14516762869999</v>
      </c>
      <c r="R299">
        <v>257.65946627964598</v>
      </c>
      <c r="S299" t="s">
        <v>628</v>
      </c>
      <c r="T299">
        <v>0</v>
      </c>
      <c r="U299">
        <v>0</v>
      </c>
      <c r="V299">
        <v>0</v>
      </c>
      <c r="W299">
        <v>232.60077000000001</v>
      </c>
      <c r="X299">
        <v>1.1077326454235099</v>
      </c>
      <c r="Y299">
        <v>13.141958236694339</v>
      </c>
      <c r="Z299">
        <v>13.229832649230961</v>
      </c>
      <c r="AA299">
        <f t="shared" si="17"/>
        <v>-0.35469351399386895</v>
      </c>
      <c r="AB299">
        <f t="shared" si="18"/>
        <v>1.2054997472083182</v>
      </c>
      <c r="AC299" s="13">
        <f t="shared" si="19"/>
        <v>-0.2558476619022893</v>
      </c>
      <c r="AD299" s="13"/>
      <c r="AE299" s="13"/>
      <c r="AF299" s="13"/>
    </row>
    <row r="300" spans="1:32">
      <c r="A300" s="1" t="s">
        <v>629</v>
      </c>
      <c r="B300">
        <v>1069.3075211910996</v>
      </c>
      <c r="C300">
        <v>64.760548886912972</v>
      </c>
      <c r="D300">
        <v>168.22406000000001</v>
      </c>
      <c r="E300">
        <v>178.26536533333334</v>
      </c>
      <c r="F300">
        <v>10.041305333333336</v>
      </c>
      <c r="G300">
        <v>0.53437500000000004</v>
      </c>
      <c r="H300">
        <v>18.393097749586008</v>
      </c>
      <c r="I300">
        <v>8.7170404783916411E-2</v>
      </c>
      <c r="J300">
        <v>4.8116468847829615E-2</v>
      </c>
      <c r="K300">
        <v>0</v>
      </c>
      <c r="L300">
        <f t="shared" si="16"/>
        <v>1.0017901731889509</v>
      </c>
      <c r="M300" t="s">
        <v>605</v>
      </c>
      <c r="N300">
        <v>330</v>
      </c>
      <c r="O300">
        <v>17</v>
      </c>
      <c r="P300">
        <v>993</v>
      </c>
      <c r="Q300">
        <v>429.87668228762601</v>
      </c>
      <c r="R300">
        <v>542.56389122934502</v>
      </c>
      <c r="S300" t="s">
        <v>630</v>
      </c>
      <c r="T300">
        <v>0</v>
      </c>
      <c r="U300">
        <v>0</v>
      </c>
      <c r="V300">
        <v>0</v>
      </c>
      <c r="W300">
        <v>110.898346</v>
      </c>
      <c r="X300">
        <v>4.8924434926139098</v>
      </c>
      <c r="Y300">
        <v>12.305665969848629</v>
      </c>
      <c r="Z300">
        <v>12.98973941802979</v>
      </c>
      <c r="AA300">
        <f t="shared" si="17"/>
        <v>-0.35458137567796671</v>
      </c>
      <c r="AB300">
        <f t="shared" si="18"/>
        <v>1.1000452025476295</v>
      </c>
      <c r="AC300" s="13">
        <f t="shared" si="19"/>
        <v>-3.6834941955075452E-2</v>
      </c>
      <c r="AD300" s="13"/>
      <c r="AE300" s="13"/>
      <c r="AF300" s="13"/>
    </row>
    <row r="301" spans="1:32">
      <c r="A301" s="1" t="s">
        <v>631</v>
      </c>
      <c r="B301">
        <v>1120.7298808812732</v>
      </c>
      <c r="C301">
        <v>180.03769524424996</v>
      </c>
      <c r="D301">
        <v>7.2437353333333334</v>
      </c>
      <c r="E301">
        <v>18.985142166666666</v>
      </c>
      <c r="F301">
        <v>11.741406833333334</v>
      </c>
      <c r="G301">
        <v>0.47481243301178994</v>
      </c>
      <c r="H301">
        <v>17.164782277813355</v>
      </c>
      <c r="I301">
        <v>17.535393235952409</v>
      </c>
      <c r="J301">
        <v>7.0417494339485573</v>
      </c>
      <c r="K301">
        <v>0</v>
      </c>
      <c r="L301">
        <f t="shared" si="16"/>
        <v>1.0697201363791362</v>
      </c>
      <c r="M301" t="s">
        <v>605</v>
      </c>
      <c r="N301">
        <v>321</v>
      </c>
      <c r="O301">
        <v>39</v>
      </c>
      <c r="P301">
        <v>966</v>
      </c>
      <c r="Q301">
        <v>1013.75193490152</v>
      </c>
      <c r="R301">
        <v>1279.49529994147</v>
      </c>
      <c r="S301" t="s">
        <v>632</v>
      </c>
      <c r="T301">
        <v>0</v>
      </c>
      <c r="U301">
        <v>0</v>
      </c>
      <c r="V301">
        <v>0</v>
      </c>
      <c r="W301">
        <v>0</v>
      </c>
      <c r="X301" t="s">
        <v>56</v>
      </c>
      <c r="AA301">
        <f t="shared" si="17"/>
        <v>-0.35446920031341339</v>
      </c>
      <c r="AB301">
        <f t="shared" si="18"/>
        <v>0.97357240553372759</v>
      </c>
      <c r="AC301" s="13">
        <f t="shared" si="19"/>
        <v>0.52966153231017155</v>
      </c>
      <c r="AD301" s="13"/>
      <c r="AE301" s="13"/>
      <c r="AF301" s="13"/>
    </row>
    <row r="302" spans="1:32">
      <c r="A302" s="1" t="s">
        <v>633</v>
      </c>
      <c r="B302">
        <v>1124.6066300328309</v>
      </c>
      <c r="C302">
        <v>208.14161821566447</v>
      </c>
      <c r="D302">
        <v>18.314447233333336</v>
      </c>
      <c r="E302">
        <v>30.926463999999999</v>
      </c>
      <c r="F302">
        <v>12.612016766666665</v>
      </c>
      <c r="G302">
        <v>0.48327939590075508</v>
      </c>
      <c r="H302">
        <v>19.212929755538394</v>
      </c>
      <c r="I302">
        <v>7.8076665617216059E-2</v>
      </c>
      <c r="J302">
        <v>3.9107550815371227E-2</v>
      </c>
      <c r="K302">
        <v>0</v>
      </c>
      <c r="L302">
        <f t="shared" si="16"/>
        <v>1.1007845394359981</v>
      </c>
      <c r="M302" t="s">
        <v>605</v>
      </c>
      <c r="N302">
        <v>319</v>
      </c>
      <c r="O302">
        <v>26</v>
      </c>
      <c r="P302">
        <v>960</v>
      </c>
      <c r="Q302">
        <v>680.05858966310905</v>
      </c>
      <c r="R302">
        <v>858.328097044071</v>
      </c>
      <c r="S302" t="s">
        <v>634</v>
      </c>
      <c r="T302">
        <v>0</v>
      </c>
      <c r="U302">
        <v>0</v>
      </c>
      <c r="V302">
        <v>0</v>
      </c>
      <c r="W302">
        <v>48.340252</v>
      </c>
      <c r="X302">
        <v>17.7559706772747</v>
      </c>
      <c r="Y302">
        <v>13.444540023803709</v>
      </c>
      <c r="Z302">
        <v>11.680295944213871</v>
      </c>
      <c r="AA302">
        <f t="shared" si="17"/>
        <v>-0.35441175610396158</v>
      </c>
      <c r="AB302">
        <f t="shared" si="18"/>
        <v>1.1844587341338435</v>
      </c>
      <c r="AC302" s="13">
        <f t="shared" si="19"/>
        <v>0.2059004160151095</v>
      </c>
      <c r="AD302" s="13"/>
      <c r="AE302" s="13"/>
      <c r="AF302" s="13"/>
    </row>
    <row r="303" spans="1:32">
      <c r="A303" s="1" t="s">
        <v>635</v>
      </c>
      <c r="B303">
        <v>946.67973835386113</v>
      </c>
      <c r="C303">
        <v>100.56119331059946</v>
      </c>
      <c r="D303">
        <v>0</v>
      </c>
      <c r="E303">
        <v>13.574718333333335</v>
      </c>
      <c r="F303">
        <v>13.574718333333335</v>
      </c>
      <c r="G303">
        <v>0.39374325782092773</v>
      </c>
      <c r="H303">
        <v>23.099853685534555</v>
      </c>
      <c r="I303">
        <v>1.5798080196278892</v>
      </c>
      <c r="J303">
        <v>0.34460734473627441</v>
      </c>
      <c r="K303">
        <v>0</v>
      </c>
      <c r="L303">
        <f t="shared" si="16"/>
        <v>1.1327308270234513</v>
      </c>
      <c r="M303" t="s">
        <v>605</v>
      </c>
      <c r="N303">
        <v>319</v>
      </c>
      <c r="O303">
        <v>29</v>
      </c>
      <c r="P303">
        <v>960</v>
      </c>
      <c r="Q303">
        <v>758.52688847039099</v>
      </c>
      <c r="R303">
        <v>957.36595439531095</v>
      </c>
      <c r="S303" t="s">
        <v>636</v>
      </c>
      <c r="T303">
        <v>0</v>
      </c>
      <c r="U303">
        <v>0</v>
      </c>
      <c r="V303">
        <v>0</v>
      </c>
      <c r="W303">
        <v>0</v>
      </c>
      <c r="X303" t="s">
        <v>56</v>
      </c>
      <c r="Y303">
        <v>12.46129035949707</v>
      </c>
      <c r="Z303">
        <v>11.573258399963381</v>
      </c>
      <c r="AA303">
        <f t="shared" si="17"/>
        <v>-0.35434823554404393</v>
      </c>
      <c r="AB303">
        <f t="shared" si="18"/>
        <v>1.5846736239596961</v>
      </c>
      <c r="AC303" s="13">
        <f t="shared" si="19"/>
        <v>0.28203314199880936</v>
      </c>
      <c r="AD303" s="13"/>
      <c r="AE303" s="13"/>
      <c r="AF303" s="13"/>
    </row>
    <row r="304" spans="1:32">
      <c r="A304" s="1" t="s">
        <v>637</v>
      </c>
      <c r="B304">
        <v>1050.0857277774173</v>
      </c>
      <c r="C304">
        <v>201.96109416369242</v>
      </c>
      <c r="D304">
        <v>13.966131533333334</v>
      </c>
      <c r="E304">
        <v>27.774446666666666</v>
      </c>
      <c r="F304">
        <v>13.808315133333332</v>
      </c>
      <c r="G304">
        <v>0.39529914529914528</v>
      </c>
      <c r="H304">
        <v>18.194800011671237</v>
      </c>
      <c r="I304">
        <v>8.1237917144657404E-2</v>
      </c>
      <c r="J304">
        <v>4.6616028146818103E-2</v>
      </c>
      <c r="K304">
        <v>0</v>
      </c>
      <c r="L304">
        <f t="shared" si="16"/>
        <v>1.1401406899518123</v>
      </c>
      <c r="M304" t="s">
        <v>605</v>
      </c>
      <c r="N304">
        <v>322</v>
      </c>
      <c r="O304">
        <v>27</v>
      </c>
      <c r="P304">
        <v>969</v>
      </c>
      <c r="Q304">
        <v>699.655419705795</v>
      </c>
      <c r="R304">
        <v>883.06200981909706</v>
      </c>
      <c r="S304" t="s">
        <v>638</v>
      </c>
      <c r="T304">
        <v>0</v>
      </c>
      <c r="U304">
        <v>0</v>
      </c>
      <c r="V304">
        <v>0</v>
      </c>
      <c r="W304">
        <v>0</v>
      </c>
      <c r="X304" t="s">
        <v>56</v>
      </c>
      <c r="Y304">
        <v>9.4059762954711914</v>
      </c>
      <c r="Z304">
        <v>12.03429508209229</v>
      </c>
      <c r="AA304">
        <f t="shared" si="17"/>
        <v>-0.35433282246064951</v>
      </c>
      <c r="AB304">
        <f t="shared" si="18"/>
        <v>1.0796275898642873</v>
      </c>
      <c r="AC304" s="13">
        <f t="shared" si="19"/>
        <v>0.22491395542486781</v>
      </c>
      <c r="AD304" s="13"/>
      <c r="AE304" s="13"/>
      <c r="AF304" s="13"/>
    </row>
    <row r="305" spans="1:32">
      <c r="A305" s="1" t="s">
        <v>639</v>
      </c>
      <c r="B305">
        <v>1019.3554622252499</v>
      </c>
      <c r="C305">
        <v>114.84829059174824</v>
      </c>
      <c r="D305">
        <v>236.67690833333336</v>
      </c>
      <c r="E305">
        <v>250.88502433333329</v>
      </c>
      <c r="F305">
        <v>14.208115999999981</v>
      </c>
      <c r="G305">
        <v>0.50470219435736674</v>
      </c>
      <c r="H305">
        <v>18.891802647753064</v>
      </c>
      <c r="I305">
        <v>7.5441548576210049E-2</v>
      </c>
      <c r="J305">
        <v>3.8437303231931876E-2</v>
      </c>
      <c r="K305">
        <v>0</v>
      </c>
      <c r="L305">
        <f t="shared" si="16"/>
        <v>1.152536494180179</v>
      </c>
      <c r="M305" t="s">
        <v>605</v>
      </c>
      <c r="N305">
        <v>329</v>
      </c>
      <c r="O305">
        <v>5</v>
      </c>
      <c r="P305">
        <v>990</v>
      </c>
      <c r="Q305">
        <v>126.81745261782901</v>
      </c>
      <c r="R305">
        <v>160.06118359796201</v>
      </c>
      <c r="S305" t="s">
        <v>640</v>
      </c>
      <c r="T305">
        <v>0</v>
      </c>
      <c r="U305">
        <v>0</v>
      </c>
      <c r="V305">
        <v>0</v>
      </c>
      <c r="W305">
        <v>25.591843000000001</v>
      </c>
      <c r="X305">
        <v>6.2543828358888396</v>
      </c>
      <c r="Y305">
        <v>10.90783214569092</v>
      </c>
      <c r="Z305">
        <v>11.46765804290771</v>
      </c>
      <c r="AA305">
        <f t="shared" si="17"/>
        <v>-0.35430644297215014</v>
      </c>
      <c r="AB305">
        <f t="shared" si="18"/>
        <v>1.1513940659342454</v>
      </c>
      <c r="AC305" s="13">
        <f t="shared" si="19"/>
        <v>-0.33087375304168248</v>
      </c>
      <c r="AD305" s="13"/>
      <c r="AE305" s="13"/>
      <c r="AF305" s="13"/>
    </row>
    <row r="306" spans="1:32">
      <c r="A306" s="1" t="s">
        <v>641</v>
      </c>
      <c r="B306">
        <v>733.78443377463918</v>
      </c>
      <c r="C306">
        <v>180.68079232258336</v>
      </c>
      <c r="D306">
        <v>0</v>
      </c>
      <c r="E306">
        <v>14.217703333333333</v>
      </c>
      <c r="F306">
        <v>14.217703333333333</v>
      </c>
      <c r="G306">
        <v>0.45512820512820518</v>
      </c>
      <c r="H306">
        <v>19.366951531443863</v>
      </c>
      <c r="I306">
        <v>7.9921741207992489E-2</v>
      </c>
      <c r="J306">
        <v>2.6940152387389567E-2</v>
      </c>
      <c r="K306">
        <v>0</v>
      </c>
      <c r="L306">
        <f t="shared" si="16"/>
        <v>1.1528294479959966</v>
      </c>
      <c r="M306" t="s">
        <v>605</v>
      </c>
      <c r="N306">
        <v>322</v>
      </c>
      <c r="O306">
        <v>1</v>
      </c>
      <c r="P306">
        <v>969</v>
      </c>
      <c r="Q306">
        <v>25.913163692807199</v>
      </c>
      <c r="R306">
        <v>32.706000363670199</v>
      </c>
      <c r="S306" t="s">
        <v>642</v>
      </c>
      <c r="T306">
        <v>0</v>
      </c>
      <c r="U306">
        <v>0</v>
      </c>
      <c r="V306">
        <v>0</v>
      </c>
      <c r="W306">
        <v>42.653109999999998</v>
      </c>
      <c r="X306">
        <v>0.76679051922990504</v>
      </c>
      <c r="Y306">
        <v>12.153499603271481</v>
      </c>
      <c r="Z306">
        <v>12.81643867492676</v>
      </c>
      <c r="AA306">
        <f t="shared" si="17"/>
        <v>-0.35430581038485354</v>
      </c>
      <c r="AB306">
        <f t="shared" si="18"/>
        <v>1.2003174978207496</v>
      </c>
      <c r="AC306" s="13">
        <f t="shared" si="19"/>
        <v>-0.42877467221639326</v>
      </c>
      <c r="AD306" s="13"/>
      <c r="AE306" s="13"/>
      <c r="AF306" s="13"/>
    </row>
    <row r="307" spans="1:32">
      <c r="A307" s="1" t="s">
        <v>643</v>
      </c>
      <c r="B307">
        <v>936.1183587183009</v>
      </c>
      <c r="C307">
        <v>251.34455948647388</v>
      </c>
      <c r="D307">
        <v>0</v>
      </c>
      <c r="E307">
        <v>14.813046666666667</v>
      </c>
      <c r="F307">
        <v>14.813046666666667</v>
      </c>
      <c r="G307">
        <v>0.44514767932489452</v>
      </c>
      <c r="H307">
        <v>16.876807961721017</v>
      </c>
      <c r="I307">
        <v>6.8835869160432342E-2</v>
      </c>
      <c r="J307">
        <v>1.8923684818114347E-2</v>
      </c>
      <c r="K307">
        <v>0</v>
      </c>
      <c r="L307">
        <f t="shared" si="16"/>
        <v>1.1706443910291768</v>
      </c>
      <c r="M307" t="s">
        <v>605</v>
      </c>
      <c r="N307">
        <v>326</v>
      </c>
      <c r="O307">
        <v>25</v>
      </c>
      <c r="P307">
        <v>981</v>
      </c>
      <c r="Q307">
        <v>639.90457742941305</v>
      </c>
      <c r="R307">
        <v>807.64817411815704</v>
      </c>
      <c r="S307" t="s">
        <v>644</v>
      </c>
      <c r="T307">
        <v>0</v>
      </c>
      <c r="U307">
        <v>0</v>
      </c>
      <c r="V307">
        <v>0</v>
      </c>
      <c r="W307">
        <v>0</v>
      </c>
      <c r="X307" t="s">
        <v>56</v>
      </c>
      <c r="Y307">
        <v>11.720705986022949</v>
      </c>
      <c r="Z307">
        <v>13.87031078338623</v>
      </c>
      <c r="AA307">
        <f t="shared" si="17"/>
        <v>-0.35426652869758307</v>
      </c>
      <c r="AB307">
        <f t="shared" si="18"/>
        <v>0.94392129548803028</v>
      </c>
      <c r="AC307" s="13">
        <f t="shared" si="19"/>
        <v>0.16694156948726288</v>
      </c>
      <c r="AD307" s="13"/>
      <c r="AE307" s="13"/>
      <c r="AF307" s="13"/>
    </row>
    <row r="308" spans="1:32">
      <c r="A308" s="1" t="s">
        <v>645</v>
      </c>
      <c r="B308">
        <v>1018.0219179617912</v>
      </c>
      <c r="C308">
        <v>285.65706053136108</v>
      </c>
      <c r="D308">
        <v>0</v>
      </c>
      <c r="E308">
        <v>15.165554</v>
      </c>
      <c r="F308">
        <v>15.165554</v>
      </c>
      <c r="G308">
        <v>0.50962512664640325</v>
      </c>
      <c r="H308">
        <v>20.256307692262443</v>
      </c>
      <c r="I308">
        <v>7.9287893766842518E-2</v>
      </c>
      <c r="J308">
        <v>4.4986540809695129E-2</v>
      </c>
      <c r="K308">
        <v>0</v>
      </c>
      <c r="L308">
        <f t="shared" si="16"/>
        <v>1.1808582797801053</v>
      </c>
      <c r="M308" t="s">
        <v>605</v>
      </c>
      <c r="N308">
        <v>339</v>
      </c>
      <c r="O308">
        <v>82</v>
      </c>
      <c r="P308">
        <v>1020</v>
      </c>
      <c r="Q308">
        <v>2018.6354516696799</v>
      </c>
      <c r="R308">
        <v>2547.79742832991</v>
      </c>
      <c r="S308" t="s">
        <v>646</v>
      </c>
      <c r="T308">
        <v>0</v>
      </c>
      <c r="U308">
        <v>0</v>
      </c>
      <c r="V308">
        <v>0</v>
      </c>
      <c r="W308">
        <v>45.496662000000001</v>
      </c>
      <c r="X308">
        <v>55.999656157849799</v>
      </c>
      <c r="Y308">
        <v>9.1834259033203125</v>
      </c>
      <c r="Z308">
        <v>12.34735774993896</v>
      </c>
      <c r="AA308">
        <f t="shared" si="17"/>
        <v>-0.35424326971062003</v>
      </c>
      <c r="AB308">
        <f t="shared" si="18"/>
        <v>1.2918895440784963</v>
      </c>
      <c r="AC308" s="13">
        <f t="shared" si="19"/>
        <v>1.5046351533841031</v>
      </c>
      <c r="AD308" s="13"/>
      <c r="AE308" s="13"/>
      <c r="AF308" s="13"/>
    </row>
    <row r="309" spans="1:32">
      <c r="A309" s="1" t="s">
        <v>647</v>
      </c>
      <c r="B309">
        <v>767.21169107846788</v>
      </c>
      <c r="C309">
        <v>126.6182560555137</v>
      </c>
      <c r="D309">
        <v>37.066476666666667</v>
      </c>
      <c r="E309">
        <v>52.433721666666663</v>
      </c>
      <c r="F309">
        <v>15.367244999999999</v>
      </c>
      <c r="G309">
        <v>0.49472573839662448</v>
      </c>
      <c r="H309">
        <v>20.260249786515317</v>
      </c>
      <c r="I309">
        <v>0.50721344948804936</v>
      </c>
      <c r="J309">
        <v>0.14319248064899892</v>
      </c>
      <c r="K309">
        <v>0</v>
      </c>
      <c r="L309">
        <f t="shared" si="16"/>
        <v>1.1865960152848931</v>
      </c>
      <c r="M309" t="s">
        <v>605</v>
      </c>
      <c r="N309">
        <v>326</v>
      </c>
      <c r="O309">
        <v>20</v>
      </c>
      <c r="P309">
        <v>981</v>
      </c>
      <c r="Q309">
        <v>511.92366194353099</v>
      </c>
      <c r="R309">
        <v>646.11853929452604</v>
      </c>
      <c r="S309" t="s">
        <v>648</v>
      </c>
      <c r="T309">
        <v>0</v>
      </c>
      <c r="U309">
        <v>0</v>
      </c>
      <c r="V309">
        <v>0</v>
      </c>
      <c r="W309">
        <v>59.145564999999998</v>
      </c>
      <c r="X309">
        <v>10.924209436405301</v>
      </c>
      <c r="Y309">
        <v>9.1372356414794922</v>
      </c>
      <c r="Z309">
        <v>12.456119537353519</v>
      </c>
      <c r="AA309">
        <f t="shared" si="17"/>
        <v>-0.35422996182197214</v>
      </c>
      <c r="AB309">
        <f t="shared" si="18"/>
        <v>1.2922954395489279</v>
      </c>
      <c r="AC309" s="13">
        <f t="shared" si="19"/>
        <v>4.2769947087753259E-2</v>
      </c>
      <c r="AD309" s="13"/>
      <c r="AE309" s="13"/>
      <c r="AF309" s="13"/>
    </row>
    <row r="310" spans="1:32">
      <c r="A310" s="1" t="s">
        <v>649</v>
      </c>
      <c r="B310">
        <v>783.84326545945578</v>
      </c>
      <c r="C310">
        <v>248.87471868646253</v>
      </c>
      <c r="D310">
        <v>1.8349752333333333</v>
      </c>
      <c r="E310">
        <v>17.53518</v>
      </c>
      <c r="F310">
        <v>15.700204766666666</v>
      </c>
      <c r="G310">
        <v>0.46357615894039739</v>
      </c>
      <c r="H310">
        <v>18.593863868394767</v>
      </c>
      <c r="I310">
        <v>8.5938530193245988E-2</v>
      </c>
      <c r="J310">
        <v>4.5338007279646188E-2</v>
      </c>
      <c r="K310">
        <v>0</v>
      </c>
      <c r="L310">
        <f t="shared" si="16"/>
        <v>1.19590531664194</v>
      </c>
      <c r="M310" t="s">
        <v>605</v>
      </c>
      <c r="N310">
        <v>312</v>
      </c>
      <c r="O310">
        <v>5</v>
      </c>
      <c r="P310">
        <v>939</v>
      </c>
      <c r="Q310">
        <v>133.705301482056</v>
      </c>
      <c r="R310">
        <v>168.75460251542299</v>
      </c>
      <c r="S310" t="s">
        <v>650</v>
      </c>
      <c r="T310">
        <v>0</v>
      </c>
      <c r="U310">
        <v>0</v>
      </c>
      <c r="V310">
        <v>0</v>
      </c>
      <c r="W310">
        <v>52.605539999999998</v>
      </c>
      <c r="X310">
        <v>3.2079245363781701</v>
      </c>
      <c r="Y310">
        <v>13.411190986633301</v>
      </c>
      <c r="Z310">
        <v>10.78104877471924</v>
      </c>
      <c r="AA310">
        <f t="shared" si="17"/>
        <v>-0.35420799261412933</v>
      </c>
      <c r="AB310">
        <f t="shared" si="18"/>
        <v>1.1207169706518978</v>
      </c>
      <c r="AC310" s="13">
        <f t="shared" si="19"/>
        <v>-0.32419091783092768</v>
      </c>
      <c r="AD310" s="13"/>
      <c r="AE310" s="13"/>
      <c r="AF310" s="13"/>
    </row>
    <row r="311" spans="1:32">
      <c r="A311" s="1" t="s">
        <v>651</v>
      </c>
      <c r="B311">
        <v>1014.7062419129544</v>
      </c>
      <c r="C311">
        <v>53.873854853005376</v>
      </c>
      <c r="D311">
        <v>0.88891339999999996</v>
      </c>
      <c r="E311">
        <v>18.563696666666669</v>
      </c>
      <c r="F311">
        <v>17.674783266666669</v>
      </c>
      <c r="G311">
        <v>0.36858974358974361</v>
      </c>
      <c r="H311">
        <v>18.025082144496462</v>
      </c>
      <c r="I311">
        <v>14.323095209536669</v>
      </c>
      <c r="J311">
        <v>6.048785200554712</v>
      </c>
      <c r="K311">
        <v>0</v>
      </c>
      <c r="L311">
        <f t="shared" si="16"/>
        <v>1.247354097056331</v>
      </c>
      <c r="M311" t="s">
        <v>605</v>
      </c>
      <c r="N311">
        <v>322</v>
      </c>
      <c r="O311">
        <v>24</v>
      </c>
      <c r="P311">
        <v>969</v>
      </c>
      <c r="Q311">
        <v>621.91592862737298</v>
      </c>
      <c r="R311">
        <v>784.94400872808603</v>
      </c>
      <c r="S311" t="s">
        <v>652</v>
      </c>
      <c r="T311">
        <v>0</v>
      </c>
      <c r="U311">
        <v>0</v>
      </c>
      <c r="V311">
        <v>0</v>
      </c>
      <c r="W311">
        <v>0</v>
      </c>
      <c r="X311" t="s">
        <v>56</v>
      </c>
      <c r="Y311">
        <v>9.3583040237426758</v>
      </c>
      <c r="Z311">
        <v>12.57708740234375</v>
      </c>
      <c r="AA311">
        <f t="shared" si="17"/>
        <v>-0.35407770682644157</v>
      </c>
      <c r="AB311">
        <f t="shared" si="18"/>
        <v>1.0621526871555795</v>
      </c>
      <c r="AC311" s="13">
        <f t="shared" si="19"/>
        <v>0.14948834454318349</v>
      </c>
      <c r="AD311" s="13"/>
      <c r="AE311" s="13"/>
      <c r="AF311" s="13"/>
    </row>
    <row r="312" spans="1:32">
      <c r="A312" s="1" t="s">
        <v>653</v>
      </c>
      <c r="B312">
        <v>1062.7945782171116</v>
      </c>
      <c r="C312">
        <v>213.95264890618745</v>
      </c>
      <c r="D312">
        <v>0</v>
      </c>
      <c r="E312">
        <v>18.563696666666669</v>
      </c>
      <c r="F312">
        <v>18.563696666666669</v>
      </c>
      <c r="G312">
        <v>0.41249999999999998</v>
      </c>
      <c r="H312">
        <v>20.285525077908584</v>
      </c>
      <c r="I312">
        <v>7.8420488710860103E-2</v>
      </c>
      <c r="J312">
        <v>2.9105124428996376E-2</v>
      </c>
      <c r="K312">
        <v>0</v>
      </c>
      <c r="L312">
        <f t="shared" si="16"/>
        <v>1.2686644633739517</v>
      </c>
      <c r="M312" t="s">
        <v>605</v>
      </c>
      <c r="N312">
        <v>330</v>
      </c>
      <c r="O312">
        <v>3</v>
      </c>
      <c r="P312">
        <v>993</v>
      </c>
      <c r="Q312">
        <v>75.860590991934103</v>
      </c>
      <c r="R312">
        <v>95.746569040472806</v>
      </c>
      <c r="S312" t="s">
        <v>654</v>
      </c>
      <c r="T312">
        <v>0</v>
      </c>
      <c r="U312">
        <v>0</v>
      </c>
      <c r="V312">
        <v>0</v>
      </c>
      <c r="W312">
        <v>0</v>
      </c>
      <c r="X312" t="s">
        <v>56</v>
      </c>
      <c r="Y312">
        <v>9.8781576156616211</v>
      </c>
      <c r="Z312">
        <v>12.27932929992676</v>
      </c>
      <c r="AA312">
        <f t="shared" si="17"/>
        <v>-0.35401905492553959</v>
      </c>
      <c r="AB312">
        <f t="shared" si="18"/>
        <v>1.2948978954092571</v>
      </c>
      <c r="AC312" s="13">
        <f t="shared" si="19"/>
        <v>-0.38031390711819146</v>
      </c>
      <c r="AD312" s="13"/>
      <c r="AE312" s="13"/>
      <c r="AF312" s="13"/>
    </row>
    <row r="313" spans="1:32">
      <c r="A313" s="1" t="s">
        <v>655</v>
      </c>
      <c r="B313">
        <v>907.48584649609984</v>
      </c>
      <c r="C313">
        <v>133.89786904982302</v>
      </c>
      <c r="D313">
        <v>0</v>
      </c>
      <c r="E313">
        <v>18.563696666666669</v>
      </c>
      <c r="F313">
        <v>18.563696666666669</v>
      </c>
      <c r="G313">
        <v>0.45116772823779194</v>
      </c>
      <c r="H313">
        <v>20.273394682450185</v>
      </c>
      <c r="I313">
        <v>7.2219666090072077E-2</v>
      </c>
      <c r="J313">
        <v>2.1990819979184936E-2</v>
      </c>
      <c r="K313">
        <v>0</v>
      </c>
      <c r="L313">
        <f t="shared" si="16"/>
        <v>1.2686644633739517</v>
      </c>
      <c r="M313" t="s">
        <v>605</v>
      </c>
      <c r="N313">
        <v>324</v>
      </c>
      <c r="O313">
        <v>9</v>
      </c>
      <c r="P313">
        <v>975</v>
      </c>
      <c r="Q313">
        <v>231.78328263073999</v>
      </c>
      <c r="R313">
        <v>292.54259402212102</v>
      </c>
      <c r="S313" t="s">
        <v>656</v>
      </c>
      <c r="T313">
        <v>1</v>
      </c>
      <c r="U313">
        <v>122.44398187829</v>
      </c>
      <c r="V313">
        <v>0.54181461981143597</v>
      </c>
      <c r="W313">
        <v>0</v>
      </c>
      <c r="X313" t="s">
        <v>56</v>
      </c>
      <c r="Y313">
        <v>9.0255546569824219</v>
      </c>
      <c r="Z313">
        <v>12.76094341278076</v>
      </c>
      <c r="AA313">
        <f t="shared" si="17"/>
        <v>-0.35401905492553959</v>
      </c>
      <c r="AB313">
        <f t="shared" si="18"/>
        <v>1.2936488962085109</v>
      </c>
      <c r="AC313" s="13">
        <f t="shared" si="19"/>
        <v>-0.22903218268151351</v>
      </c>
      <c r="AD313" s="13"/>
      <c r="AE313" s="13"/>
      <c r="AF313" s="13"/>
    </row>
    <row r="314" spans="1:32">
      <c r="A314" s="1" t="s">
        <v>657</v>
      </c>
      <c r="B314">
        <v>830.12312566346475</v>
      </c>
      <c r="C314">
        <v>125.66528677839665</v>
      </c>
      <c r="D314">
        <v>395.67357766666669</v>
      </c>
      <c r="E314">
        <v>414.26165399999996</v>
      </c>
      <c r="F314">
        <v>18.588076333333333</v>
      </c>
      <c r="G314">
        <v>0.44135802469135804</v>
      </c>
      <c r="H314">
        <v>17.07896983389459</v>
      </c>
      <c r="I314">
        <v>6.9785174502115771E-2</v>
      </c>
      <c r="J314">
        <v>2.786074272697537E-2</v>
      </c>
      <c r="K314">
        <v>0</v>
      </c>
      <c r="L314">
        <f t="shared" si="16"/>
        <v>1.2692344472734427</v>
      </c>
      <c r="M314" t="s">
        <v>605</v>
      </c>
      <c r="N314">
        <v>334</v>
      </c>
      <c r="O314">
        <v>46</v>
      </c>
      <c r="P314">
        <v>1005</v>
      </c>
      <c r="Q314">
        <v>1149.3068243215801</v>
      </c>
      <c r="R314">
        <v>1450.5843385176499</v>
      </c>
      <c r="S314" t="s">
        <v>658</v>
      </c>
      <c r="T314">
        <v>0</v>
      </c>
      <c r="U314">
        <v>0</v>
      </c>
      <c r="V314">
        <v>0</v>
      </c>
      <c r="W314">
        <v>449.28399999999999</v>
      </c>
      <c r="X314">
        <v>3.2286579057292202</v>
      </c>
      <c r="AA314">
        <f t="shared" si="17"/>
        <v>-0.35401744631687948</v>
      </c>
      <c r="AB314">
        <f t="shared" si="18"/>
        <v>0.96473677653579404</v>
      </c>
      <c r="AC314" s="13">
        <f t="shared" si="19"/>
        <v>0.66118169279325367</v>
      </c>
      <c r="AD314" s="13"/>
      <c r="AE314" s="13"/>
      <c r="AF314" s="13"/>
    </row>
    <row r="315" spans="1:32">
      <c r="A315" s="1" t="s">
        <v>659</v>
      </c>
      <c r="B315">
        <v>1136.0665626054108</v>
      </c>
      <c r="C315">
        <v>248.3718854583924</v>
      </c>
      <c r="D315">
        <v>173.23863000000003</v>
      </c>
      <c r="E315">
        <v>193.94266366666668</v>
      </c>
      <c r="F315">
        <v>20.704033666666664</v>
      </c>
      <c r="G315">
        <v>0.43042071197411003</v>
      </c>
      <c r="H315">
        <v>22.963790518297809</v>
      </c>
      <c r="I315">
        <v>0.56583618137875324</v>
      </c>
      <c r="J315">
        <v>0.19406681220161409</v>
      </c>
      <c r="K315">
        <v>0</v>
      </c>
      <c r="L315">
        <f t="shared" si="16"/>
        <v>1.3160549651920292</v>
      </c>
      <c r="M315" t="s">
        <v>605</v>
      </c>
      <c r="N315">
        <v>319</v>
      </c>
      <c r="O315">
        <v>2</v>
      </c>
      <c r="P315">
        <v>960</v>
      </c>
      <c r="Q315">
        <v>52.312199204854501</v>
      </c>
      <c r="R315">
        <v>66.025238234159303</v>
      </c>
      <c r="S315" t="s">
        <v>660</v>
      </c>
      <c r="T315">
        <v>0</v>
      </c>
      <c r="U315">
        <v>0</v>
      </c>
      <c r="V315">
        <v>0</v>
      </c>
      <c r="W315">
        <v>371.65048000000002</v>
      </c>
      <c r="X315">
        <v>0.177654118014752</v>
      </c>
      <c r="AA315">
        <f t="shared" si="17"/>
        <v>-0.35387783213193469</v>
      </c>
      <c r="AB315">
        <f t="shared" si="18"/>
        <v>1.5706639580990462</v>
      </c>
      <c r="AC315" s="13">
        <f t="shared" si="19"/>
        <v>-0.40316139185448813</v>
      </c>
      <c r="AD315" s="13"/>
      <c r="AE315" s="13"/>
      <c r="AF315" s="13"/>
    </row>
    <row r="316" spans="1:32">
      <c r="A316" s="1" t="s">
        <v>661</v>
      </c>
      <c r="B316">
        <v>893.89465048981583</v>
      </c>
      <c r="C316">
        <v>210.66189269688968</v>
      </c>
      <c r="D316">
        <v>22.01962</v>
      </c>
      <c r="E316">
        <v>45.061614999999996</v>
      </c>
      <c r="F316">
        <v>23.041995</v>
      </c>
      <c r="G316">
        <v>0.46062567421790723</v>
      </c>
      <c r="H316">
        <v>20.222332678851185</v>
      </c>
      <c r="I316">
        <v>7.8120607389426208E-2</v>
      </c>
      <c r="J316">
        <v>3.3103382402220806E-2</v>
      </c>
      <c r="K316">
        <v>0</v>
      </c>
      <c r="L316">
        <f t="shared" si="16"/>
        <v>1.3625200780490325</v>
      </c>
      <c r="M316" t="s">
        <v>605</v>
      </c>
      <c r="N316">
        <v>319</v>
      </c>
      <c r="O316">
        <v>1</v>
      </c>
      <c r="P316">
        <v>960</v>
      </c>
      <c r="Q316">
        <v>26.156099602427201</v>
      </c>
      <c r="R316">
        <v>33.012619117079602</v>
      </c>
      <c r="S316" t="s">
        <v>662</v>
      </c>
      <c r="T316">
        <v>0</v>
      </c>
      <c r="U316">
        <v>0</v>
      </c>
      <c r="V316">
        <v>0</v>
      </c>
      <c r="W316">
        <v>45.496662000000001</v>
      </c>
      <c r="X316">
        <v>0.72560530082579799</v>
      </c>
      <c r="Y316">
        <v>12.70322227478027</v>
      </c>
      <c r="Z316">
        <v>12.78078651428223</v>
      </c>
      <c r="AA316">
        <f t="shared" si="17"/>
        <v>-0.35372356977472946</v>
      </c>
      <c r="AB316">
        <f t="shared" si="18"/>
        <v>1.2883913263376536</v>
      </c>
      <c r="AC316" s="13">
        <f t="shared" si="19"/>
        <v>-0.42853896718238804</v>
      </c>
      <c r="AD316" s="13"/>
      <c r="AE316" s="13"/>
      <c r="AF316" s="13"/>
    </row>
    <row r="317" spans="1:32">
      <c r="A317" s="1" t="s">
        <v>663</v>
      </c>
      <c r="B317">
        <v>808.99921738719149</v>
      </c>
      <c r="C317">
        <v>209.86208242163772</v>
      </c>
      <c r="D317">
        <v>148.32788366666668</v>
      </c>
      <c r="E317">
        <v>171.66962333333331</v>
      </c>
      <c r="F317">
        <v>23.341739666666665</v>
      </c>
      <c r="G317">
        <v>0.44582043343653249</v>
      </c>
      <c r="H317">
        <v>20.781963940826291</v>
      </c>
      <c r="I317">
        <v>0.36450333447315225</v>
      </c>
      <c r="J317">
        <v>0.12237441965545817</v>
      </c>
      <c r="K317">
        <v>0</v>
      </c>
      <c r="L317">
        <f t="shared" si="16"/>
        <v>1.3681332210100428</v>
      </c>
      <c r="M317" t="s">
        <v>605</v>
      </c>
      <c r="N317">
        <v>333</v>
      </c>
      <c r="O317">
        <v>3</v>
      </c>
      <c r="P317">
        <v>1002</v>
      </c>
      <c r="Q317">
        <v>75.179208438114301</v>
      </c>
      <c r="R317">
        <v>94.886569917354805</v>
      </c>
      <c r="S317" t="s">
        <v>664</v>
      </c>
      <c r="T317">
        <v>0</v>
      </c>
      <c r="U317">
        <v>0</v>
      </c>
      <c r="V317">
        <v>0</v>
      </c>
      <c r="W317">
        <v>272.97933999999998</v>
      </c>
      <c r="X317">
        <v>0.34759615843951702</v>
      </c>
      <c r="Y317">
        <v>13.01274967193604</v>
      </c>
      <c r="Z317">
        <v>11.037588119506839</v>
      </c>
      <c r="AA317">
        <f t="shared" si="17"/>
        <v>-0.35370379215130154</v>
      </c>
      <c r="AB317">
        <f t="shared" si="18"/>
        <v>1.3460134377780213</v>
      </c>
      <c r="AC317" s="13">
        <f t="shared" si="19"/>
        <v>-0.38097500863368938</v>
      </c>
      <c r="AD317" s="13"/>
      <c r="AE317" s="13"/>
      <c r="AF317" s="13"/>
    </row>
    <row r="318" spans="1:32">
      <c r="A318" s="1" t="s">
        <v>665</v>
      </c>
      <c r="B318">
        <v>820.56074914479041</v>
      </c>
      <c r="C318">
        <v>282.52106169279563</v>
      </c>
      <c r="D318">
        <v>32.295544999999997</v>
      </c>
      <c r="E318">
        <v>56.870553333333334</v>
      </c>
      <c r="F318">
        <v>24.575008333333333</v>
      </c>
      <c r="G318">
        <v>0.41531823085221142</v>
      </c>
      <c r="H318">
        <v>16.786080795809504</v>
      </c>
      <c r="I318">
        <v>0.11095911747486586</v>
      </c>
      <c r="J318">
        <v>2.9114374934969798E-2</v>
      </c>
      <c r="K318">
        <v>0</v>
      </c>
      <c r="L318">
        <f t="shared" si="16"/>
        <v>1.3904936737725382</v>
      </c>
      <c r="M318" t="s">
        <v>605</v>
      </c>
      <c r="N318">
        <v>319</v>
      </c>
      <c r="O318">
        <v>7</v>
      </c>
      <c r="P318">
        <v>960</v>
      </c>
      <c r="Q318">
        <v>183.09269721699101</v>
      </c>
      <c r="R318">
        <v>231.08833381955699</v>
      </c>
      <c r="S318" t="s">
        <v>666</v>
      </c>
      <c r="T318">
        <v>0</v>
      </c>
      <c r="U318">
        <v>0</v>
      </c>
      <c r="V318">
        <v>0</v>
      </c>
      <c r="W318">
        <v>170.61166</v>
      </c>
      <c r="X318">
        <v>1.3544697579260201</v>
      </c>
      <c r="AA318">
        <f t="shared" si="17"/>
        <v>-0.35362241914958636</v>
      </c>
      <c r="AB318">
        <f t="shared" si="18"/>
        <v>0.93457962496310087</v>
      </c>
      <c r="AC318" s="13">
        <f t="shared" si="19"/>
        <v>-0.27627351521498844</v>
      </c>
      <c r="AD318" s="13"/>
      <c r="AE318" s="13"/>
      <c r="AF318" s="13"/>
    </row>
    <row r="319" spans="1:32">
      <c r="A319" s="1" t="s">
        <v>667</v>
      </c>
      <c r="B319">
        <v>931.83759958183111</v>
      </c>
      <c r="C319">
        <v>233.87517207611108</v>
      </c>
      <c r="D319">
        <v>56.077026666666661</v>
      </c>
      <c r="E319">
        <v>81.900390666666667</v>
      </c>
      <c r="F319">
        <v>25.823363999999998</v>
      </c>
      <c r="G319">
        <v>0.46562500000000001</v>
      </c>
      <c r="H319">
        <v>5.6726384159303409</v>
      </c>
      <c r="I319">
        <v>7.2884941976627787E-2</v>
      </c>
      <c r="J319">
        <v>4.7584895603330048E-2</v>
      </c>
      <c r="K319">
        <v>0</v>
      </c>
      <c r="L319">
        <f t="shared" si="16"/>
        <v>1.4120128169959785</v>
      </c>
      <c r="M319" t="s">
        <v>605</v>
      </c>
      <c r="N319">
        <v>330</v>
      </c>
      <c r="O319">
        <v>0</v>
      </c>
      <c r="P319">
        <v>993</v>
      </c>
      <c r="Q319">
        <v>0</v>
      </c>
      <c r="R319">
        <v>0</v>
      </c>
      <c r="S319" t="s">
        <v>668</v>
      </c>
      <c r="T319">
        <v>0</v>
      </c>
      <c r="U319">
        <v>0</v>
      </c>
      <c r="W319">
        <v>233.17064999999999</v>
      </c>
      <c r="X319">
        <v>0</v>
      </c>
      <c r="AA319">
        <f t="shared" si="17"/>
        <v>-0.35354005068393857</v>
      </c>
      <c r="AB319">
        <f t="shared" si="18"/>
        <v>-0.20970958618533916</v>
      </c>
      <c r="AC319" s="13">
        <f t="shared" si="19"/>
        <v>-0.45391654251028785</v>
      </c>
      <c r="AD319" s="13"/>
      <c r="AE319" s="13"/>
      <c r="AF319" s="13"/>
    </row>
    <row r="320" spans="1:32">
      <c r="A320" s="1" t="s">
        <v>669</v>
      </c>
      <c r="B320">
        <v>1075.5746664398268</v>
      </c>
      <c r="C320">
        <v>243.44810134866378</v>
      </c>
      <c r="D320">
        <v>28.590315333333336</v>
      </c>
      <c r="E320">
        <v>55.835395666666663</v>
      </c>
      <c r="F320">
        <v>27.24508033333333</v>
      </c>
      <c r="G320">
        <v>0.4642857142857143</v>
      </c>
      <c r="H320">
        <v>21.509321993693487</v>
      </c>
      <c r="I320">
        <v>6.9526599718850293E-2</v>
      </c>
      <c r="J320">
        <v>3.3383761372587653E-2</v>
      </c>
      <c r="K320">
        <v>0</v>
      </c>
      <c r="L320">
        <f t="shared" si="16"/>
        <v>1.4352880927786464</v>
      </c>
      <c r="M320" t="s">
        <v>605</v>
      </c>
      <c r="N320">
        <v>318</v>
      </c>
      <c r="O320">
        <v>9</v>
      </c>
      <c r="P320">
        <v>957</v>
      </c>
      <c r="Q320">
        <v>236.14284280561299</v>
      </c>
      <c r="R320">
        <v>298.044962561722</v>
      </c>
      <c r="S320" t="s">
        <v>670</v>
      </c>
      <c r="T320">
        <v>0</v>
      </c>
      <c r="U320">
        <v>0</v>
      </c>
      <c r="V320">
        <v>0</v>
      </c>
      <c r="W320">
        <v>36.966006999999998</v>
      </c>
      <c r="X320">
        <v>8.0626766791913003</v>
      </c>
      <c r="Y320">
        <v>10.87466335296631</v>
      </c>
      <c r="Z320">
        <v>11.365530967712401</v>
      </c>
      <c r="AA320">
        <f t="shared" si="17"/>
        <v>-0.35344624360948862</v>
      </c>
      <c r="AB320">
        <f t="shared" si="18"/>
        <v>1.4209054419013123</v>
      </c>
      <c r="AC320" s="13">
        <f t="shared" si="19"/>
        <v>-0.22480238281012577</v>
      </c>
      <c r="AD320" s="13"/>
      <c r="AE320" s="13"/>
      <c r="AF320" s="13"/>
    </row>
    <row r="321" spans="1:32">
      <c r="A321" s="1" t="s">
        <v>671</v>
      </c>
      <c r="B321">
        <v>541.02373210342</v>
      </c>
      <c r="C321">
        <v>137.3711561653929</v>
      </c>
      <c r="D321">
        <v>18.855155</v>
      </c>
      <c r="E321">
        <v>48.495050666666664</v>
      </c>
      <c r="F321">
        <v>29.639895666666664</v>
      </c>
      <c r="G321">
        <v>0.42675159235668791</v>
      </c>
      <c r="H321">
        <v>6.7638944896563844</v>
      </c>
      <c r="I321">
        <v>7.3878893633679263E-2</v>
      </c>
      <c r="J321">
        <v>3.1059122384419383E-2</v>
      </c>
      <c r="K321">
        <v>0</v>
      </c>
      <c r="L321">
        <f t="shared" si="16"/>
        <v>1.4718766705802091</v>
      </c>
      <c r="M321" t="s">
        <v>605</v>
      </c>
      <c r="N321">
        <v>324</v>
      </c>
      <c r="O321">
        <v>16</v>
      </c>
      <c r="P321">
        <v>975</v>
      </c>
      <c r="Q321">
        <v>412.05916912131602</v>
      </c>
      <c r="R321">
        <v>520.07572270599303</v>
      </c>
      <c r="S321" t="s">
        <v>672</v>
      </c>
      <c r="T321">
        <v>0</v>
      </c>
      <c r="U321">
        <v>0</v>
      </c>
      <c r="V321">
        <v>0</v>
      </c>
      <c r="W321">
        <v>45.496662000000001</v>
      </c>
      <c r="X321">
        <v>11.4310742776248</v>
      </c>
      <c r="AA321">
        <f t="shared" si="17"/>
        <v>-0.35328822993615533</v>
      </c>
      <c r="AB321">
        <f t="shared" si="18"/>
        <v>-9.734903136519571E-2</v>
      </c>
      <c r="AC321" s="13">
        <f t="shared" si="19"/>
        <v>-5.4122125036910766E-2</v>
      </c>
      <c r="AD321" s="13"/>
      <c r="AE321" s="13"/>
      <c r="AF321" s="13"/>
    </row>
    <row r="322" spans="1:32">
      <c r="A322" s="1" t="s">
        <v>673</v>
      </c>
      <c r="B322">
        <v>1010.4724336204391</v>
      </c>
      <c r="C322">
        <v>142.40328673420348</v>
      </c>
      <c r="D322">
        <v>14.989641799999999</v>
      </c>
      <c r="E322">
        <v>44.769282666666669</v>
      </c>
      <c r="F322">
        <v>29.779640866666671</v>
      </c>
      <c r="G322">
        <v>0.45766345123258312</v>
      </c>
      <c r="H322">
        <v>21.125609970663067</v>
      </c>
      <c r="I322">
        <v>0.11148995621945744</v>
      </c>
      <c r="J322">
        <v>4.0792670855665313E-2</v>
      </c>
      <c r="K322">
        <v>0</v>
      </c>
      <c r="L322">
        <f t="shared" ref="L322:L385" si="20">LOG10(F322)</f>
        <v>1.4739194559895152</v>
      </c>
      <c r="M322" t="s">
        <v>605</v>
      </c>
      <c r="N322">
        <v>321</v>
      </c>
      <c r="O322">
        <v>6</v>
      </c>
      <c r="P322">
        <v>966</v>
      </c>
      <c r="Q322">
        <v>155.96183613869599</v>
      </c>
      <c r="R322">
        <v>196.84543076022601</v>
      </c>
      <c r="S322" t="s">
        <v>674</v>
      </c>
      <c r="T322">
        <v>0</v>
      </c>
      <c r="U322">
        <v>0</v>
      </c>
      <c r="V322">
        <v>0</v>
      </c>
      <c r="W322">
        <v>31.278908000000001</v>
      </c>
      <c r="X322">
        <v>6.2932321921285297</v>
      </c>
      <c r="Y322">
        <v>11.93367385864258</v>
      </c>
      <c r="Z322">
        <v>11.299995422363279</v>
      </c>
      <c r="AA322">
        <f t="shared" ref="AA322:AA385" si="21">(F322-AVERAGE(F:F))/_xlfn.STDEV.P(F:F)</f>
        <v>-0.35327900932858886</v>
      </c>
      <c r="AB322">
        <f t="shared" ref="AB322:AB385" si="22">(H322-AVERAGE(H:H))/_xlfn.STDEV.P(H:H)</f>
        <v>1.3813967538519103</v>
      </c>
      <c r="AC322" s="13">
        <f t="shared" ref="AC322:AC385" si="23">(Q322-AVERAGE(Q:Q))/_xlfn.STDEV.P(Q:Q)</f>
        <v>-0.30259683869175508</v>
      </c>
      <c r="AD322" s="13"/>
      <c r="AE322" s="13"/>
      <c r="AF322" s="13"/>
    </row>
    <row r="323" spans="1:32">
      <c r="A323" s="1" t="s">
        <v>675</v>
      </c>
      <c r="B323">
        <v>1002.6445537263594</v>
      </c>
      <c r="C323">
        <v>151.19823435004022</v>
      </c>
      <c r="D323">
        <v>0</v>
      </c>
      <c r="E323">
        <v>29.978600666666665</v>
      </c>
      <c r="F323">
        <v>29.978600666666665</v>
      </c>
      <c r="G323">
        <v>0.43415637860082301</v>
      </c>
      <c r="H323">
        <v>27.611181027668938</v>
      </c>
      <c r="I323">
        <v>8.6569753109026024E-2</v>
      </c>
      <c r="J323">
        <v>4.1783292692327265E-2</v>
      </c>
      <c r="K323">
        <v>0</v>
      </c>
      <c r="L323">
        <f t="shared" si="20"/>
        <v>1.4768113571003743</v>
      </c>
      <c r="M323" t="s">
        <v>605</v>
      </c>
      <c r="N323">
        <v>334</v>
      </c>
      <c r="O323">
        <v>16</v>
      </c>
      <c r="P323">
        <v>1005</v>
      </c>
      <c r="Q323">
        <v>399.75889541620199</v>
      </c>
      <c r="R323">
        <v>504.55107426700903</v>
      </c>
      <c r="S323" t="s">
        <v>676</v>
      </c>
      <c r="T323">
        <v>0</v>
      </c>
      <c r="U323">
        <v>0</v>
      </c>
      <c r="V323">
        <v>0</v>
      </c>
      <c r="W323">
        <v>45.496662000000001</v>
      </c>
      <c r="X323">
        <v>11.089848179785299</v>
      </c>
      <c r="AA323">
        <f t="shared" si="21"/>
        <v>-0.35326588164880246</v>
      </c>
      <c r="AB323">
        <f t="shared" si="22"/>
        <v>2.0491798524627201</v>
      </c>
      <c r="AC323" s="13">
        <f t="shared" si="23"/>
        <v>-6.6056286752534069E-2</v>
      </c>
      <c r="AD323" s="13"/>
      <c r="AE323" s="13"/>
      <c r="AF323" s="13"/>
    </row>
    <row r="324" spans="1:32">
      <c r="A324" s="1" t="s">
        <v>677</v>
      </c>
      <c r="B324">
        <v>862.90661099782346</v>
      </c>
      <c r="C324">
        <v>88.413511408799593</v>
      </c>
      <c r="D324">
        <v>0</v>
      </c>
      <c r="E324">
        <v>29.978600666666665</v>
      </c>
      <c r="F324">
        <v>29.978600666666665</v>
      </c>
      <c r="G324">
        <v>0.44761904761904758</v>
      </c>
      <c r="H324">
        <v>16.982919552963299</v>
      </c>
      <c r="I324">
        <v>8.1825347454192496E-2</v>
      </c>
      <c r="J324">
        <v>1.8895273367630749E-2</v>
      </c>
      <c r="K324">
        <v>0</v>
      </c>
      <c r="L324">
        <f t="shared" si="20"/>
        <v>1.4768113571003743</v>
      </c>
      <c r="M324" t="s">
        <v>605</v>
      </c>
      <c r="N324">
        <v>325</v>
      </c>
      <c r="O324">
        <v>12</v>
      </c>
      <c r="P324">
        <v>978</v>
      </c>
      <c r="Q324">
        <v>308.09638795497102</v>
      </c>
      <c r="R324">
        <v>388.86029880241102</v>
      </c>
      <c r="S324" t="s">
        <v>678</v>
      </c>
      <c r="T324">
        <v>0</v>
      </c>
      <c r="U324">
        <v>0</v>
      </c>
      <c r="V324">
        <v>0</v>
      </c>
      <c r="W324">
        <v>45.496662000000001</v>
      </c>
      <c r="X324">
        <v>8.5470072244511197</v>
      </c>
      <c r="Y324">
        <v>12.84049606323242</v>
      </c>
      <c r="Z324">
        <v>11.12844657897949</v>
      </c>
      <c r="AA324">
        <f t="shared" si="21"/>
        <v>-0.35326588164880246</v>
      </c>
      <c r="AB324">
        <f t="shared" si="22"/>
        <v>0.95484701453041909</v>
      </c>
      <c r="AC324" s="13">
        <f t="shared" si="23"/>
        <v>-0.15499050183809324</v>
      </c>
      <c r="AD324" s="13"/>
      <c r="AE324" s="13"/>
      <c r="AF324" s="13"/>
    </row>
    <row r="325" spans="1:32">
      <c r="A325" s="1" t="s">
        <v>679</v>
      </c>
      <c r="B325">
        <v>828.77899517183596</v>
      </c>
      <c r="C325">
        <v>205.06951271617564</v>
      </c>
      <c r="D325">
        <v>26.667373333333334</v>
      </c>
      <c r="E325">
        <v>56.648198333333333</v>
      </c>
      <c r="F325">
        <v>29.980824999999999</v>
      </c>
      <c r="G325">
        <v>0.40764331210191085</v>
      </c>
      <c r="H325">
        <v>20.745566452742146</v>
      </c>
      <c r="I325">
        <v>7.5481608710752643E-2</v>
      </c>
      <c r="J325">
        <v>3.9862294236464854E-2</v>
      </c>
      <c r="K325">
        <v>0</v>
      </c>
      <c r="L325">
        <f t="shared" si="20"/>
        <v>1.4768435794134562</v>
      </c>
      <c r="M325" t="s">
        <v>605</v>
      </c>
      <c r="N325">
        <v>324</v>
      </c>
      <c r="O325">
        <v>23</v>
      </c>
      <c r="P325">
        <v>975</v>
      </c>
      <c r="Q325">
        <v>592.33505561189099</v>
      </c>
      <c r="R325">
        <v>747.608851389866</v>
      </c>
      <c r="S325" t="s">
        <v>680</v>
      </c>
      <c r="T325">
        <v>0</v>
      </c>
      <c r="U325">
        <v>0</v>
      </c>
      <c r="V325">
        <v>0</v>
      </c>
      <c r="W325">
        <v>76.775729999999996</v>
      </c>
      <c r="X325">
        <v>9.7375674759441004</v>
      </c>
      <c r="Y325">
        <v>13.071578025817869</v>
      </c>
      <c r="Z325">
        <v>11.88818359375</v>
      </c>
      <c r="AA325">
        <f t="shared" si="21"/>
        <v>-0.35326573488379898</v>
      </c>
      <c r="AB325">
        <f t="shared" si="22"/>
        <v>1.34226579132394</v>
      </c>
      <c r="AC325" s="13">
        <f t="shared" si="23"/>
        <v>0.12078793260769095</v>
      </c>
      <c r="AD325" s="13"/>
      <c r="AE325" s="13"/>
      <c r="AF325" s="13"/>
    </row>
    <row r="326" spans="1:32">
      <c r="A326" s="1" t="s">
        <v>681</v>
      </c>
      <c r="B326">
        <v>1075.0308135922498</v>
      </c>
      <c r="C326">
        <v>97.963563633451415</v>
      </c>
      <c r="D326">
        <v>33.763598000000002</v>
      </c>
      <c r="E326">
        <v>63.96221833333334</v>
      </c>
      <c r="F326">
        <v>30.198620333333334</v>
      </c>
      <c r="G326">
        <v>0.45454545454545453</v>
      </c>
      <c r="H326">
        <v>16.73665786580456</v>
      </c>
      <c r="I326">
        <v>0.24280897551845224</v>
      </c>
      <c r="J326">
        <v>0.10018265204308663</v>
      </c>
      <c r="K326">
        <v>0</v>
      </c>
      <c r="L326">
        <f t="shared" si="20"/>
        <v>1.479987102052938</v>
      </c>
      <c r="M326" t="s">
        <v>605</v>
      </c>
      <c r="N326">
        <v>340</v>
      </c>
      <c r="O326">
        <v>4</v>
      </c>
      <c r="P326">
        <v>1023</v>
      </c>
      <c r="Q326">
        <v>98.181253639609693</v>
      </c>
      <c r="R326">
        <v>123.91833568874399</v>
      </c>
      <c r="S326" t="s">
        <v>682</v>
      </c>
      <c r="T326">
        <v>0</v>
      </c>
      <c r="U326">
        <v>0</v>
      </c>
      <c r="V326">
        <v>0</v>
      </c>
      <c r="W326">
        <v>122.272575</v>
      </c>
      <c r="X326">
        <v>1.0134597696069201</v>
      </c>
      <c r="AA326">
        <f t="shared" si="21"/>
        <v>-0.35325136440596883</v>
      </c>
      <c r="AB326">
        <f t="shared" si="22"/>
        <v>0.92949082136338157</v>
      </c>
      <c r="AC326" s="13">
        <f t="shared" si="23"/>
        <v>-0.35865760872814162</v>
      </c>
      <c r="AD326" s="13"/>
      <c r="AE326" s="13"/>
      <c r="AF326" s="13"/>
    </row>
    <row r="327" spans="1:32">
      <c r="A327" s="1" t="s">
        <v>683</v>
      </c>
      <c r="B327">
        <v>866.21370814898353</v>
      </c>
      <c r="C327">
        <v>121.10315065585547</v>
      </c>
      <c r="D327">
        <v>11.743848</v>
      </c>
      <c r="E327">
        <v>42.014203999999999</v>
      </c>
      <c r="F327">
        <v>30.270356000000003</v>
      </c>
      <c r="G327">
        <v>0.44973544973544977</v>
      </c>
      <c r="H327">
        <v>21.840959122572556</v>
      </c>
      <c r="I327">
        <v>29.008304057225217</v>
      </c>
      <c r="J327">
        <v>13.629325525697229</v>
      </c>
      <c r="K327">
        <v>0</v>
      </c>
      <c r="L327">
        <f t="shared" si="20"/>
        <v>1.4810175285854597</v>
      </c>
      <c r="M327" t="s">
        <v>605</v>
      </c>
      <c r="N327">
        <v>325</v>
      </c>
      <c r="O327">
        <v>98</v>
      </c>
      <c r="P327">
        <v>978</v>
      </c>
      <c r="Q327">
        <v>2516.1205016322601</v>
      </c>
      <c r="R327">
        <v>3175.6924402196901</v>
      </c>
      <c r="S327" t="s">
        <v>684</v>
      </c>
      <c r="T327">
        <v>0</v>
      </c>
      <c r="U327">
        <v>0</v>
      </c>
      <c r="V327">
        <v>0</v>
      </c>
      <c r="W327">
        <v>45.496662000000001</v>
      </c>
      <c r="X327">
        <v>69.800558999684199</v>
      </c>
      <c r="Y327">
        <v>8.8967485427856445</v>
      </c>
      <c r="Z327">
        <v>12.29558753967285</v>
      </c>
      <c r="AA327">
        <f t="shared" si="21"/>
        <v>-0.35324663117412369</v>
      </c>
      <c r="AB327">
        <f t="shared" si="22"/>
        <v>1.455052268385933</v>
      </c>
      <c r="AC327" s="13">
        <f t="shared" si="23"/>
        <v>1.9873127896459655</v>
      </c>
      <c r="AD327" s="13"/>
      <c r="AE327" s="13"/>
      <c r="AF327" s="13"/>
    </row>
    <row r="328" spans="1:32">
      <c r="A328" s="1" t="s">
        <v>685</v>
      </c>
      <c r="B328">
        <v>969.51157875798526</v>
      </c>
      <c r="C328">
        <v>163.52018657120348</v>
      </c>
      <c r="D328">
        <v>0</v>
      </c>
      <c r="E328">
        <v>30.331108</v>
      </c>
      <c r="F328">
        <v>30.331108</v>
      </c>
      <c r="G328">
        <v>0.43343982960596383</v>
      </c>
      <c r="H328">
        <v>21.771006498520688</v>
      </c>
      <c r="I328">
        <v>24.183334081547191</v>
      </c>
      <c r="J328">
        <v>11.995960768192864</v>
      </c>
      <c r="K328">
        <v>0</v>
      </c>
      <c r="L328">
        <f t="shared" si="20"/>
        <v>1.4818882754440865</v>
      </c>
      <c r="M328" t="s">
        <v>605</v>
      </c>
      <c r="N328">
        <v>323</v>
      </c>
      <c r="O328">
        <v>0</v>
      </c>
      <c r="P328">
        <v>972</v>
      </c>
      <c r="Q328">
        <v>0</v>
      </c>
      <c r="R328">
        <v>0</v>
      </c>
      <c r="S328" t="s">
        <v>686</v>
      </c>
      <c r="T328">
        <v>0</v>
      </c>
      <c r="U328">
        <v>0</v>
      </c>
      <c r="W328">
        <v>90.993324000000001</v>
      </c>
      <c r="X328">
        <v>0</v>
      </c>
      <c r="Y328">
        <v>9.4929990768432617</v>
      </c>
      <c r="Z328">
        <v>12.182601928710939</v>
      </c>
      <c r="AA328">
        <f t="shared" si="21"/>
        <v>-0.35324262266183937</v>
      </c>
      <c r="AB328">
        <f t="shared" si="22"/>
        <v>1.4478496366308076</v>
      </c>
      <c r="AC328" s="13">
        <f t="shared" si="23"/>
        <v>-0.45391654251028785</v>
      </c>
      <c r="AD328" s="13"/>
      <c r="AE328" s="13"/>
      <c r="AF328" s="13"/>
    </row>
    <row r="329" spans="1:32">
      <c r="A329" s="1" t="s">
        <v>687</v>
      </c>
      <c r="B329">
        <v>1095.5604415265882</v>
      </c>
      <c r="C329">
        <v>118.95198907267076</v>
      </c>
      <c r="D329">
        <v>12.796751333333333</v>
      </c>
      <c r="E329">
        <v>44.439266666666668</v>
      </c>
      <c r="F329">
        <v>31.642515333333332</v>
      </c>
      <c r="G329">
        <v>0.43376068376068377</v>
      </c>
      <c r="H329">
        <v>17.373956836156239</v>
      </c>
      <c r="I329">
        <v>4.3138793323734879</v>
      </c>
      <c r="J329">
        <v>0.86650369077613287</v>
      </c>
      <c r="K329">
        <v>0</v>
      </c>
      <c r="L329">
        <f t="shared" si="20"/>
        <v>1.5002709992240968</v>
      </c>
      <c r="M329" t="s">
        <v>605</v>
      </c>
      <c r="N329">
        <v>322</v>
      </c>
      <c r="O329">
        <v>0</v>
      </c>
      <c r="P329">
        <v>969</v>
      </c>
      <c r="Q329">
        <v>0</v>
      </c>
      <c r="R329">
        <v>0</v>
      </c>
      <c r="S329" t="s">
        <v>688</v>
      </c>
      <c r="T329">
        <v>0</v>
      </c>
      <c r="U329">
        <v>0</v>
      </c>
      <c r="W329">
        <v>0</v>
      </c>
      <c r="Y329">
        <v>12.283447265625</v>
      </c>
      <c r="Z329">
        <v>13.148262023925779</v>
      </c>
      <c r="AA329">
        <f t="shared" si="21"/>
        <v>-0.35315609394829228</v>
      </c>
      <c r="AB329">
        <f t="shared" si="22"/>
        <v>0.99510994378486883</v>
      </c>
      <c r="AC329" s="13">
        <f t="shared" si="23"/>
        <v>-0.45391654251028785</v>
      </c>
      <c r="AD329" s="13"/>
      <c r="AE329" s="13"/>
      <c r="AF329" s="13"/>
    </row>
    <row r="330" spans="1:32">
      <c r="A330" s="1" t="s">
        <v>689</v>
      </c>
      <c r="B330">
        <v>956.38743630668023</v>
      </c>
      <c r="C330">
        <v>333.79898930371348</v>
      </c>
      <c r="D330">
        <v>2.6667400000000003</v>
      </c>
      <c r="E330">
        <v>35.272437000000004</v>
      </c>
      <c r="F330">
        <v>32.605696999999999</v>
      </c>
      <c r="G330">
        <v>0.50157728706624605</v>
      </c>
      <c r="H330">
        <v>14.872212973630196</v>
      </c>
      <c r="I330">
        <v>7.3269028566963781E-2</v>
      </c>
      <c r="J330">
        <v>3.1161751050037712E-2</v>
      </c>
      <c r="K330">
        <v>0</v>
      </c>
      <c r="L330">
        <f t="shared" si="20"/>
        <v>1.513293488396215</v>
      </c>
      <c r="M330" t="s">
        <v>605</v>
      </c>
      <c r="N330">
        <v>327</v>
      </c>
      <c r="O330">
        <v>3</v>
      </c>
      <c r="P330">
        <v>984</v>
      </c>
      <c r="Q330">
        <v>76.554437860762704</v>
      </c>
      <c r="R330">
        <v>96.622299854867293</v>
      </c>
      <c r="S330" t="s">
        <v>690</v>
      </c>
      <c r="T330">
        <v>0</v>
      </c>
      <c r="U330">
        <v>0</v>
      </c>
      <c r="V330">
        <v>0</v>
      </c>
      <c r="W330">
        <v>5.6870810000000001</v>
      </c>
      <c r="X330">
        <v>16.989787881492699</v>
      </c>
      <c r="AA330">
        <f t="shared" si="21"/>
        <v>-0.35309254171062326</v>
      </c>
      <c r="AB330">
        <f t="shared" si="22"/>
        <v>0.73751932396680819</v>
      </c>
      <c r="AC330" s="13">
        <f t="shared" si="23"/>
        <v>-0.37964071228228818</v>
      </c>
      <c r="AD330" s="13"/>
      <c r="AE330" s="13"/>
      <c r="AF330" s="13"/>
    </row>
    <row r="331" spans="1:32">
      <c r="A331" s="1" t="s">
        <v>691</v>
      </c>
      <c r="B331">
        <v>789.72046502169417</v>
      </c>
      <c r="C331">
        <v>103.29412288418513</v>
      </c>
      <c r="D331">
        <v>51.892903333333329</v>
      </c>
      <c r="E331">
        <v>84.96647333333334</v>
      </c>
      <c r="F331">
        <v>33.073570000000011</v>
      </c>
      <c r="G331">
        <v>0.43881856540084391</v>
      </c>
      <c r="H331">
        <v>19.692889160416772</v>
      </c>
      <c r="I331">
        <v>0.10072635342775071</v>
      </c>
      <c r="J331">
        <v>4.0562804137868919E-2</v>
      </c>
      <c r="K331">
        <v>0</v>
      </c>
      <c r="L331">
        <f t="shared" si="20"/>
        <v>1.5194810757005097</v>
      </c>
      <c r="M331" t="s">
        <v>605</v>
      </c>
      <c r="N331">
        <v>326</v>
      </c>
      <c r="O331">
        <v>33</v>
      </c>
      <c r="P331">
        <v>981</v>
      </c>
      <c r="Q331">
        <v>844.67404220682602</v>
      </c>
      <c r="R331">
        <v>1066.09558983596</v>
      </c>
      <c r="S331" t="s">
        <v>692</v>
      </c>
      <c r="T331">
        <v>0</v>
      </c>
      <c r="U331">
        <v>0</v>
      </c>
      <c r="V331">
        <v>0</v>
      </c>
      <c r="W331">
        <v>129.66566</v>
      </c>
      <c r="X331">
        <v>8.2218807187343792</v>
      </c>
      <c r="Y331">
        <v>9.8966608047485352</v>
      </c>
      <c r="Z331">
        <v>12.800179481506349</v>
      </c>
      <c r="AA331">
        <f t="shared" si="21"/>
        <v>-0.35306167071595645</v>
      </c>
      <c r="AB331">
        <f t="shared" si="22"/>
        <v>1.2338774785712918</v>
      </c>
      <c r="AC331" s="13">
        <f t="shared" si="23"/>
        <v>0.36561616532647989</v>
      </c>
      <c r="AD331" s="13"/>
      <c r="AE331" s="13"/>
      <c r="AF331" s="13"/>
    </row>
    <row r="332" spans="1:32">
      <c r="A332" s="1" t="s">
        <v>693</v>
      </c>
      <c r="B332">
        <v>823.28063744839721</v>
      </c>
      <c r="C332">
        <v>211.39821125068087</v>
      </c>
      <c r="D332">
        <v>23.487592000000003</v>
      </c>
      <c r="E332">
        <v>57.400726666666664</v>
      </c>
      <c r="F332">
        <v>33.913134666666664</v>
      </c>
      <c r="G332">
        <v>0.47435897435897434</v>
      </c>
      <c r="H332">
        <v>20.508101773837904</v>
      </c>
      <c r="I332">
        <v>1.0961621046159067</v>
      </c>
      <c r="J332">
        <v>0.60032029414361343</v>
      </c>
      <c r="K332">
        <v>0</v>
      </c>
      <c r="L332">
        <f t="shared" si="20"/>
        <v>1.5303679344409244</v>
      </c>
      <c r="M332" t="s">
        <v>605</v>
      </c>
      <c r="N332">
        <v>322</v>
      </c>
      <c r="O332">
        <v>10</v>
      </c>
      <c r="P332">
        <v>969</v>
      </c>
      <c r="Q332">
        <v>259.131636928072</v>
      </c>
      <c r="R332">
        <v>327.06000363670199</v>
      </c>
      <c r="S332" t="s">
        <v>694</v>
      </c>
      <c r="T332">
        <v>0</v>
      </c>
      <c r="U332">
        <v>0</v>
      </c>
      <c r="V332">
        <v>0</v>
      </c>
      <c r="W332">
        <v>0</v>
      </c>
      <c r="X332" t="s">
        <v>56</v>
      </c>
      <c r="Y332">
        <v>12.97579765319824</v>
      </c>
      <c r="Z332">
        <v>11.78586006164551</v>
      </c>
      <c r="AA332">
        <f t="shared" si="21"/>
        <v>-0.35300627492191156</v>
      </c>
      <c r="AB332">
        <f t="shared" si="22"/>
        <v>1.317815377058877</v>
      </c>
      <c r="AC332" s="13">
        <f t="shared" si="23"/>
        <v>-0.20249783957134154</v>
      </c>
      <c r="AD332" s="13"/>
      <c r="AE332" s="13"/>
      <c r="AF332" s="13"/>
    </row>
    <row r="333" spans="1:32">
      <c r="A333" s="1" t="s">
        <v>695</v>
      </c>
      <c r="B333">
        <v>1025.439460676904</v>
      </c>
      <c r="C333">
        <v>217.91502000824329</v>
      </c>
      <c r="D333">
        <v>11.743848</v>
      </c>
      <c r="E333">
        <v>47.029562333333331</v>
      </c>
      <c r="F333">
        <v>35.285714333333338</v>
      </c>
      <c r="G333">
        <v>0.46817691477885653</v>
      </c>
      <c r="H333">
        <v>19.8463410530013</v>
      </c>
      <c r="I333">
        <v>8.0074810262284024E-2</v>
      </c>
      <c r="J333">
        <v>3.0168893732007509E-2</v>
      </c>
      <c r="K333">
        <v>0</v>
      </c>
      <c r="L333">
        <f t="shared" si="20"/>
        <v>1.5475989138315014</v>
      </c>
      <c r="M333" t="s">
        <v>605</v>
      </c>
      <c r="N333">
        <v>319</v>
      </c>
      <c r="O333">
        <v>6</v>
      </c>
      <c r="P333">
        <v>960</v>
      </c>
      <c r="Q333">
        <v>156.936597614563</v>
      </c>
      <c r="R333">
        <v>198.075714702478</v>
      </c>
      <c r="S333" t="s">
        <v>696</v>
      </c>
      <c r="T333">
        <v>0</v>
      </c>
      <c r="U333">
        <v>0</v>
      </c>
      <c r="V333">
        <v>0</v>
      </c>
      <c r="W333">
        <v>0</v>
      </c>
      <c r="X333" t="s">
        <v>56</v>
      </c>
      <c r="Y333">
        <v>13.035958290100099</v>
      </c>
      <c r="Z333">
        <v>10.552244186401371</v>
      </c>
      <c r="AA333">
        <f t="shared" si="21"/>
        <v>-0.35291570996182725</v>
      </c>
      <c r="AB333">
        <f t="shared" si="22"/>
        <v>1.2496775645493947</v>
      </c>
      <c r="AC333" s="13">
        <f t="shared" si="23"/>
        <v>-0.30165109054288913</v>
      </c>
      <c r="AD333" s="13"/>
      <c r="AE333" s="13"/>
      <c r="AF333" s="13"/>
    </row>
    <row r="334" spans="1:32">
      <c r="A334" s="1" t="s">
        <v>697</v>
      </c>
      <c r="B334">
        <v>924.23967065587533</v>
      </c>
      <c r="C334">
        <v>150.56040347244289</v>
      </c>
      <c r="D334">
        <v>11.743848</v>
      </c>
      <c r="E334">
        <v>47.784787333333334</v>
      </c>
      <c r="F334">
        <v>36.040939333333334</v>
      </c>
      <c r="G334">
        <v>0.5357142857142857</v>
      </c>
      <c r="H334">
        <v>14.710860357182584</v>
      </c>
      <c r="I334">
        <v>9.0571988281172597</v>
      </c>
      <c r="J334">
        <v>5.1494690963936156</v>
      </c>
      <c r="K334">
        <v>0</v>
      </c>
      <c r="L334">
        <f t="shared" si="20"/>
        <v>1.5567961014515075</v>
      </c>
      <c r="M334" t="s">
        <v>605</v>
      </c>
      <c r="N334">
        <v>318</v>
      </c>
      <c r="O334">
        <v>3</v>
      </c>
      <c r="P334">
        <v>957</v>
      </c>
      <c r="Q334">
        <v>78.7142809352043</v>
      </c>
      <c r="R334">
        <v>99.348320853907495</v>
      </c>
      <c r="S334" t="s">
        <v>698</v>
      </c>
      <c r="T334">
        <v>0</v>
      </c>
      <c r="U334">
        <v>0</v>
      </c>
      <c r="V334">
        <v>0</v>
      </c>
      <c r="W334">
        <v>36.966006999999998</v>
      </c>
      <c r="X334">
        <v>2.6875588930637599</v>
      </c>
      <c r="Y334">
        <v>13.26218891143799</v>
      </c>
      <c r="Z334">
        <v>11.52066707611084</v>
      </c>
      <c r="AA334">
        <f t="shared" si="21"/>
        <v>-0.3528658790313241</v>
      </c>
      <c r="AB334">
        <f t="shared" si="22"/>
        <v>0.72090574449427192</v>
      </c>
      <c r="AC334" s="13">
        <f t="shared" si="23"/>
        <v>-0.37754515594356719</v>
      </c>
      <c r="AD334" s="13"/>
      <c r="AE334" s="13"/>
      <c r="AF334" s="13"/>
    </row>
    <row r="335" spans="1:32">
      <c r="A335" s="1" t="s">
        <v>699</v>
      </c>
      <c r="B335">
        <v>967.18119433334175</v>
      </c>
      <c r="C335">
        <v>194.65374126483005</v>
      </c>
      <c r="D335">
        <v>68.690474000000009</v>
      </c>
      <c r="E335">
        <v>106.12888933333333</v>
      </c>
      <c r="F335">
        <v>37.438415333333332</v>
      </c>
      <c r="G335">
        <v>0.42781316348195331</v>
      </c>
      <c r="H335">
        <v>16.397620674735549</v>
      </c>
      <c r="I335">
        <v>7.8559219453309695E-2</v>
      </c>
      <c r="J335">
        <v>3.3754710161677096E-2</v>
      </c>
      <c r="K335">
        <v>0</v>
      </c>
      <c r="L335">
        <f t="shared" si="20"/>
        <v>1.5733174579465736</v>
      </c>
      <c r="M335" t="s">
        <v>605</v>
      </c>
      <c r="N335">
        <v>324</v>
      </c>
      <c r="O335">
        <v>6</v>
      </c>
      <c r="P335">
        <v>975</v>
      </c>
      <c r="Q335">
        <v>154.52218842049299</v>
      </c>
      <c r="R335">
        <v>195.02839601474699</v>
      </c>
      <c r="S335" t="s">
        <v>700</v>
      </c>
      <c r="T335">
        <v>0</v>
      </c>
      <c r="U335">
        <v>0</v>
      </c>
      <c r="V335">
        <v>0</v>
      </c>
      <c r="W335">
        <v>204.73552000000001</v>
      </c>
      <c r="X335">
        <v>0.95258700598092405</v>
      </c>
      <c r="Y335">
        <v>12.99921703338623</v>
      </c>
      <c r="Z335">
        <v>10.76818943023682</v>
      </c>
      <c r="AA335">
        <f t="shared" si="21"/>
        <v>-0.3527736713721023</v>
      </c>
      <c r="AB335">
        <f t="shared" si="22"/>
        <v>0.89458205172592564</v>
      </c>
      <c r="AC335" s="13">
        <f t="shared" si="23"/>
        <v>-0.30399363595777196</v>
      </c>
      <c r="AD335" s="13"/>
      <c r="AE335" s="13"/>
      <c r="AF335" s="13"/>
    </row>
    <row r="336" spans="1:32">
      <c r="A336" s="1" t="s">
        <v>701</v>
      </c>
      <c r="B336">
        <v>879.43494689252702</v>
      </c>
      <c r="C336">
        <v>155.42325420491963</v>
      </c>
      <c r="D336">
        <v>35.818719999999999</v>
      </c>
      <c r="E336">
        <v>74.648900000000012</v>
      </c>
      <c r="F336">
        <v>38.830180000000006</v>
      </c>
      <c r="G336">
        <v>0.47983014861995754</v>
      </c>
      <c r="H336">
        <v>17.489875365575688</v>
      </c>
      <c r="I336">
        <v>0.18968165688249072</v>
      </c>
      <c r="J336">
        <v>3.8044786653076909E-2</v>
      </c>
      <c r="K336">
        <v>0</v>
      </c>
      <c r="L336">
        <f t="shared" si="20"/>
        <v>1.5891694037529895</v>
      </c>
      <c r="M336" t="s">
        <v>605</v>
      </c>
      <c r="N336">
        <v>324</v>
      </c>
      <c r="O336">
        <v>2</v>
      </c>
      <c r="P336">
        <v>975</v>
      </c>
      <c r="Q336">
        <v>51.507396140164502</v>
      </c>
      <c r="R336">
        <v>65.0094653382492</v>
      </c>
      <c r="S336" t="s">
        <v>702</v>
      </c>
      <c r="T336">
        <v>0</v>
      </c>
      <c r="U336">
        <v>0</v>
      </c>
      <c r="V336">
        <v>0</v>
      </c>
      <c r="W336">
        <v>135.06842</v>
      </c>
      <c r="X336">
        <v>0.48130766124493901</v>
      </c>
      <c r="Y336">
        <v>12.28466320037842</v>
      </c>
      <c r="Z336">
        <v>10.988542556762701</v>
      </c>
      <c r="AA336">
        <f t="shared" si="21"/>
        <v>-0.3526818405556153</v>
      </c>
      <c r="AB336">
        <f t="shared" si="22"/>
        <v>1.0070454285836221</v>
      </c>
      <c r="AC336" s="13">
        <f t="shared" si="23"/>
        <v>-0.40394224032611575</v>
      </c>
      <c r="AD336" s="13"/>
      <c r="AE336" s="13"/>
      <c r="AF336" s="13"/>
    </row>
    <row r="337" spans="1:32">
      <c r="A337" s="1" t="s">
        <v>703</v>
      </c>
      <c r="B337">
        <v>902.36543003635472</v>
      </c>
      <c r="C337">
        <v>133.64038728013861</v>
      </c>
      <c r="D337">
        <v>0</v>
      </c>
      <c r="E337">
        <v>41.088437333333331</v>
      </c>
      <c r="F337">
        <v>41.088437333333331</v>
      </c>
      <c r="G337">
        <v>0.44875943905070115</v>
      </c>
      <c r="H337">
        <v>19.166667321058423</v>
      </c>
      <c r="I337">
        <v>8.2726520333963369E-2</v>
      </c>
      <c r="J337">
        <v>2.8323275115743621E-2</v>
      </c>
      <c r="K337">
        <v>0</v>
      </c>
      <c r="L337">
        <f t="shared" si="20"/>
        <v>1.6137196245810366</v>
      </c>
      <c r="M337" t="s">
        <v>605</v>
      </c>
      <c r="N337">
        <v>319</v>
      </c>
      <c r="O337">
        <v>15</v>
      </c>
      <c r="P337">
        <v>960</v>
      </c>
      <c r="Q337">
        <v>392.34149403640902</v>
      </c>
      <c r="R337">
        <v>495.18928675619497</v>
      </c>
      <c r="S337" t="s">
        <v>704</v>
      </c>
      <c r="T337">
        <v>0</v>
      </c>
      <c r="U337">
        <v>0</v>
      </c>
      <c r="V337">
        <v>0</v>
      </c>
      <c r="W337">
        <v>45.496662000000001</v>
      </c>
      <c r="X337">
        <v>10.884079512386901</v>
      </c>
      <c r="Y337">
        <v>12.57244205474854</v>
      </c>
      <c r="Z337">
        <v>11.123734474182131</v>
      </c>
      <c r="AA337">
        <f t="shared" si="21"/>
        <v>-0.35253283719339146</v>
      </c>
      <c r="AB337">
        <f t="shared" si="22"/>
        <v>1.1796953491404831</v>
      </c>
      <c r="AC337" s="13">
        <f t="shared" si="23"/>
        <v>-7.3252912591789426E-2</v>
      </c>
      <c r="AD337" s="13"/>
      <c r="AE337" s="13"/>
      <c r="AF337" s="13"/>
    </row>
    <row r="338" spans="1:32">
      <c r="A338" s="1" t="s">
        <v>705</v>
      </c>
      <c r="B338">
        <v>1024.8628807614102</v>
      </c>
      <c r="C338">
        <v>216.89865726585583</v>
      </c>
      <c r="D338">
        <v>202.49207666666666</v>
      </c>
      <c r="E338">
        <v>244.29729666666671</v>
      </c>
      <c r="F338">
        <v>41.80522000000002</v>
      </c>
      <c r="G338">
        <v>0.53902953586497893</v>
      </c>
      <c r="H338">
        <v>18.102390429463952</v>
      </c>
      <c r="I338">
        <v>8.0862426801762269E-2</v>
      </c>
      <c r="J338">
        <v>2.1345524553982999E-2</v>
      </c>
      <c r="K338">
        <v>0</v>
      </c>
      <c r="L338">
        <f t="shared" si="20"/>
        <v>1.6212305132500193</v>
      </c>
      <c r="M338" t="s">
        <v>605</v>
      </c>
      <c r="N338">
        <v>326</v>
      </c>
      <c r="O338">
        <v>0</v>
      </c>
      <c r="P338">
        <v>981</v>
      </c>
      <c r="Q338">
        <v>0</v>
      </c>
      <c r="R338">
        <v>0</v>
      </c>
      <c r="S338" t="s">
        <v>706</v>
      </c>
      <c r="T338">
        <v>0</v>
      </c>
      <c r="U338">
        <v>0</v>
      </c>
      <c r="W338">
        <v>354.87585000000001</v>
      </c>
      <c r="X338">
        <v>0</v>
      </c>
      <c r="Y338">
        <v>9.1150474548339844</v>
      </c>
      <c r="Z338">
        <v>12.246077537536619</v>
      </c>
      <c r="AA338">
        <f t="shared" si="21"/>
        <v>-0.35248554274836047</v>
      </c>
      <c r="AB338">
        <f t="shared" si="22"/>
        <v>1.0701126903118339</v>
      </c>
      <c r="AC338" s="13">
        <f t="shared" si="23"/>
        <v>-0.45391654251028785</v>
      </c>
      <c r="AD338" s="13"/>
      <c r="AE338" s="13"/>
      <c r="AF338" s="13"/>
    </row>
    <row r="339" spans="1:32">
      <c r="A339" s="1" t="s">
        <v>707</v>
      </c>
      <c r="B339">
        <v>889.41343879863689</v>
      </c>
      <c r="C339">
        <v>109.22099186317858</v>
      </c>
      <c r="D339">
        <v>562.28873666666675</v>
      </c>
      <c r="E339">
        <v>606.29102666666665</v>
      </c>
      <c r="F339">
        <v>44.002289999999981</v>
      </c>
      <c r="G339">
        <v>0.4851380042462845</v>
      </c>
      <c r="H339">
        <v>20.637271277916998</v>
      </c>
      <c r="I339">
        <v>7.8184900226039744E-2</v>
      </c>
      <c r="J339">
        <v>3.3927660224046349E-2</v>
      </c>
      <c r="K339">
        <v>0</v>
      </c>
      <c r="L339">
        <f t="shared" si="20"/>
        <v>1.6434752789517317</v>
      </c>
      <c r="M339" t="s">
        <v>605</v>
      </c>
      <c r="N339">
        <v>324</v>
      </c>
      <c r="O339">
        <v>14</v>
      </c>
      <c r="P339">
        <v>975</v>
      </c>
      <c r="Q339">
        <v>360.55177298115098</v>
      </c>
      <c r="R339">
        <v>455.06625736774402</v>
      </c>
      <c r="S339" t="s">
        <v>708</v>
      </c>
      <c r="T339">
        <v>0</v>
      </c>
      <c r="U339">
        <v>0</v>
      </c>
      <c r="V339">
        <v>0</v>
      </c>
      <c r="W339">
        <v>918.17790000000002</v>
      </c>
      <c r="X339">
        <v>0.49561883091255399</v>
      </c>
      <c r="Y339">
        <v>12.43908023834229</v>
      </c>
      <c r="Z339">
        <v>12.251180648803709</v>
      </c>
      <c r="AA339">
        <f t="shared" si="21"/>
        <v>-0.35234057662239737</v>
      </c>
      <c r="AB339">
        <f t="shared" si="22"/>
        <v>1.3311152408521789</v>
      </c>
      <c r="AC339" s="13">
        <f t="shared" si="23"/>
        <v>-0.10409642722108343</v>
      </c>
      <c r="AD339" s="13"/>
      <c r="AE339" s="13"/>
      <c r="AF339" s="13"/>
    </row>
    <row r="340" spans="1:32">
      <c r="A340" s="1" t="s">
        <v>709</v>
      </c>
      <c r="B340">
        <v>894.91491137892899</v>
      </c>
      <c r="C340">
        <v>234.37271204278713</v>
      </c>
      <c r="D340">
        <v>112.998384</v>
      </c>
      <c r="E340">
        <v>157.50376666666668</v>
      </c>
      <c r="F340">
        <v>44.505382666666662</v>
      </c>
      <c r="G340">
        <v>0.41479099678456594</v>
      </c>
      <c r="H340">
        <v>17.049551637207049</v>
      </c>
      <c r="I340">
        <v>17.932815383702771</v>
      </c>
      <c r="J340">
        <v>4.7324596202705216</v>
      </c>
      <c r="K340">
        <v>0</v>
      </c>
      <c r="L340">
        <f t="shared" si="20"/>
        <v>1.6484125395441278</v>
      </c>
      <c r="M340" t="s">
        <v>605</v>
      </c>
      <c r="N340">
        <v>321</v>
      </c>
      <c r="O340">
        <v>18</v>
      </c>
      <c r="P340">
        <v>966</v>
      </c>
      <c r="Q340">
        <v>467.88550841608998</v>
      </c>
      <c r="R340">
        <v>590.53629228067996</v>
      </c>
      <c r="S340" t="s">
        <v>710</v>
      </c>
      <c r="T340">
        <v>0</v>
      </c>
      <c r="U340">
        <v>0</v>
      </c>
      <c r="V340">
        <v>0</v>
      </c>
      <c r="W340">
        <v>361.12857000000002</v>
      </c>
      <c r="X340">
        <v>1.6352522102603999</v>
      </c>
      <c r="Y340">
        <v>10.443253517150881</v>
      </c>
      <c r="Z340">
        <v>11.291769981384279</v>
      </c>
      <c r="AA340">
        <f t="shared" si="21"/>
        <v>-0.35230738177886162</v>
      </c>
      <c r="AB340">
        <f t="shared" si="22"/>
        <v>0.96170774881150023</v>
      </c>
      <c r="AC340" s="13">
        <f t="shared" si="23"/>
        <v>4.256894531248163E-5</v>
      </c>
      <c r="AD340" s="13"/>
      <c r="AE340" s="13"/>
      <c r="AF340" s="13"/>
    </row>
    <row r="341" spans="1:32">
      <c r="A341" s="1" t="s">
        <v>711</v>
      </c>
      <c r="B341">
        <v>858.59296185701407</v>
      </c>
      <c r="C341">
        <v>136.19500887302496</v>
      </c>
      <c r="D341">
        <v>0.44445669999999998</v>
      </c>
      <c r="E341">
        <v>45.49671</v>
      </c>
      <c r="F341">
        <v>45.052253299999997</v>
      </c>
      <c r="G341">
        <v>0.37179487179487181</v>
      </c>
      <c r="H341">
        <v>16.754384069870266</v>
      </c>
      <c r="I341">
        <v>7.7699616358292437E-2</v>
      </c>
      <c r="J341">
        <v>4.4904045124449933E-2</v>
      </c>
      <c r="K341">
        <v>0</v>
      </c>
      <c r="L341">
        <f t="shared" si="20"/>
        <v>1.6537165172081629</v>
      </c>
      <c r="M341" t="s">
        <v>605</v>
      </c>
      <c r="N341">
        <v>322</v>
      </c>
      <c r="O341">
        <v>12</v>
      </c>
      <c r="P341">
        <v>969</v>
      </c>
      <c r="Q341">
        <v>310.95796431368598</v>
      </c>
      <c r="R341">
        <v>392.47200436404302</v>
      </c>
      <c r="S341" t="s">
        <v>712</v>
      </c>
      <c r="T341">
        <v>0</v>
      </c>
      <c r="U341">
        <v>0</v>
      </c>
      <c r="V341">
        <v>0</v>
      </c>
      <c r="W341">
        <v>136.49012999999999</v>
      </c>
      <c r="X341">
        <v>2.8754606971510901</v>
      </c>
      <c r="Y341">
        <v>11.729635238647459</v>
      </c>
      <c r="Z341">
        <v>12.35800075531006</v>
      </c>
      <c r="AA341">
        <f t="shared" si="21"/>
        <v>-0.35227129839639432</v>
      </c>
      <c r="AB341">
        <f t="shared" si="22"/>
        <v>0.93131598978317987</v>
      </c>
      <c r="AC341" s="13">
        <f t="shared" si="23"/>
        <v>-0.15221409898355268</v>
      </c>
      <c r="AD341" s="13"/>
      <c r="AE341" s="13"/>
      <c r="AF341" s="13"/>
    </row>
    <row r="342" spans="1:32">
      <c r="A342" s="1" t="s">
        <v>713</v>
      </c>
      <c r="B342">
        <v>996.99905125296937</v>
      </c>
      <c r="C342">
        <v>136.83467998241028</v>
      </c>
      <c r="D342">
        <v>0</v>
      </c>
      <c r="E342">
        <v>45.144143333333339</v>
      </c>
      <c r="F342">
        <v>45.144143333333339</v>
      </c>
      <c r="G342">
        <v>0.41613588110403399</v>
      </c>
      <c r="H342">
        <v>17.135140443477244</v>
      </c>
      <c r="I342">
        <v>9.0638103612121892</v>
      </c>
      <c r="J342">
        <v>8.3186248826746976</v>
      </c>
      <c r="K342">
        <v>0</v>
      </c>
      <c r="L342">
        <f t="shared" si="20"/>
        <v>1.6546014161556788</v>
      </c>
      <c r="M342" t="s">
        <v>605</v>
      </c>
      <c r="N342">
        <v>324</v>
      </c>
      <c r="O342">
        <v>4</v>
      </c>
      <c r="P342">
        <v>975</v>
      </c>
      <c r="Q342">
        <v>103.014792280329</v>
      </c>
      <c r="R342">
        <v>130.018930676498</v>
      </c>
      <c r="S342" t="s">
        <v>714</v>
      </c>
      <c r="T342">
        <v>0</v>
      </c>
      <c r="U342">
        <v>0</v>
      </c>
      <c r="V342">
        <v>0</v>
      </c>
      <c r="W342">
        <v>90.993290000000002</v>
      </c>
      <c r="X342">
        <v>1.4288848186113301</v>
      </c>
      <c r="AA342">
        <f t="shared" si="21"/>
        <v>-0.3522652353478129</v>
      </c>
      <c r="AB342">
        <f t="shared" si="22"/>
        <v>0.97052035108740486</v>
      </c>
      <c r="AC342" s="13">
        <f t="shared" si="23"/>
        <v>-0.35396793814194361</v>
      </c>
      <c r="AD342" s="13"/>
      <c r="AE342" s="13"/>
      <c r="AF342" s="13"/>
    </row>
    <row r="343" spans="1:32">
      <c r="A343" s="1" t="s">
        <v>715</v>
      </c>
      <c r="B343">
        <v>906.20258665814617</v>
      </c>
      <c r="C343">
        <v>256.13922618284869</v>
      </c>
      <c r="D343">
        <v>0</v>
      </c>
      <c r="E343">
        <v>45.144154666666672</v>
      </c>
      <c r="F343">
        <v>45.144154666666672</v>
      </c>
      <c r="G343">
        <v>0.40552016985138006</v>
      </c>
      <c r="H343">
        <v>24.256104056380252</v>
      </c>
      <c r="I343">
        <v>1.1100885382411418</v>
      </c>
      <c r="J343">
        <v>0.47998744147204336</v>
      </c>
      <c r="K343">
        <v>0</v>
      </c>
      <c r="L343">
        <f t="shared" si="20"/>
        <v>1.6546015251842958</v>
      </c>
      <c r="M343" t="s">
        <v>605</v>
      </c>
      <c r="N343">
        <v>324</v>
      </c>
      <c r="O343">
        <v>15</v>
      </c>
      <c r="P343">
        <v>975</v>
      </c>
      <c r="Q343">
        <v>386.30547105123298</v>
      </c>
      <c r="R343">
        <v>487.57099003686898</v>
      </c>
      <c r="S343" t="s">
        <v>716</v>
      </c>
      <c r="T343">
        <v>0</v>
      </c>
      <c r="U343">
        <v>0</v>
      </c>
      <c r="V343">
        <v>0</v>
      </c>
      <c r="W343">
        <v>90.993324000000001</v>
      </c>
      <c r="X343">
        <v>5.3583160676366601</v>
      </c>
      <c r="Y343">
        <v>12.6616325378418</v>
      </c>
      <c r="Z343">
        <v>11.742624282836911</v>
      </c>
      <c r="AA343">
        <f t="shared" si="21"/>
        <v>-0.35226523460002174</v>
      </c>
      <c r="AB343">
        <f t="shared" si="22"/>
        <v>1.7037262792504237</v>
      </c>
      <c r="AC343" s="13">
        <f t="shared" si="23"/>
        <v>-7.9109276128997597E-2</v>
      </c>
      <c r="AD343" s="13"/>
      <c r="AE343" s="13"/>
      <c r="AF343" s="13"/>
    </row>
    <row r="344" spans="1:32">
      <c r="A344" s="1" t="s">
        <v>717</v>
      </c>
      <c r="B344">
        <v>948.82704123336316</v>
      </c>
      <c r="C344">
        <v>185.32970151065999</v>
      </c>
      <c r="D344">
        <v>0</v>
      </c>
      <c r="E344">
        <v>45.496643333333331</v>
      </c>
      <c r="F344">
        <v>45.496643333333331</v>
      </c>
      <c r="G344">
        <v>0.49394939493949397</v>
      </c>
      <c r="H344">
        <v>18.128788869669364</v>
      </c>
      <c r="I344">
        <v>11.778969529074338</v>
      </c>
      <c r="J344">
        <v>3.0705642323894109</v>
      </c>
      <c r="K344">
        <v>0</v>
      </c>
      <c r="L344">
        <f t="shared" si="20"/>
        <v>1.6579793563145639</v>
      </c>
      <c r="M344" t="s">
        <v>605</v>
      </c>
      <c r="N344">
        <v>313</v>
      </c>
      <c r="O344">
        <v>14</v>
      </c>
      <c r="P344">
        <v>942</v>
      </c>
      <c r="Q344">
        <v>373.182567576032</v>
      </c>
      <c r="R344">
        <v>471.00806893158199</v>
      </c>
      <c r="S344" t="s">
        <v>718</v>
      </c>
      <c r="T344">
        <v>0</v>
      </c>
      <c r="U344">
        <v>0</v>
      </c>
      <c r="V344">
        <v>0</v>
      </c>
      <c r="W344">
        <v>136.48992999999999</v>
      </c>
      <c r="X344">
        <v>3.4508631437614601</v>
      </c>
      <c r="Y344">
        <v>13.232423782348629</v>
      </c>
      <c r="Z344">
        <v>10.496791839599609</v>
      </c>
      <c r="AA344">
        <f t="shared" si="21"/>
        <v>-0.35224197684471464</v>
      </c>
      <c r="AB344">
        <f t="shared" si="22"/>
        <v>1.0728307905444756</v>
      </c>
      <c r="AC344" s="13">
        <f t="shared" si="23"/>
        <v>-9.1841582417958492E-2</v>
      </c>
      <c r="AD344" s="13"/>
      <c r="AE344" s="13"/>
      <c r="AF344" s="13"/>
    </row>
    <row r="345" spans="1:32">
      <c r="A345" s="1" t="s">
        <v>719</v>
      </c>
      <c r="B345">
        <v>916.74038546377233</v>
      </c>
      <c r="C345">
        <v>105.72837680267018</v>
      </c>
      <c r="D345">
        <v>4.8823105666666669</v>
      </c>
      <c r="E345">
        <v>50.397346666666664</v>
      </c>
      <c r="F345">
        <v>45.515036099999996</v>
      </c>
      <c r="G345">
        <v>0.42502696871628909</v>
      </c>
      <c r="H345">
        <v>22.120098774701912</v>
      </c>
      <c r="I345">
        <v>7.8319809334075938E-2</v>
      </c>
      <c r="J345">
        <v>4.6781995697842728E-2</v>
      </c>
      <c r="K345">
        <v>0</v>
      </c>
      <c r="L345">
        <f t="shared" si="20"/>
        <v>1.6581548915256212</v>
      </c>
      <c r="M345" t="s">
        <v>605</v>
      </c>
      <c r="N345">
        <v>319</v>
      </c>
      <c r="O345">
        <v>146</v>
      </c>
      <c r="P345">
        <v>960</v>
      </c>
      <c r="Q345">
        <v>3818.7905419543799</v>
      </c>
      <c r="R345">
        <v>4819.8423910936299</v>
      </c>
      <c r="S345" t="s">
        <v>720</v>
      </c>
      <c r="T345">
        <v>0</v>
      </c>
      <c r="U345">
        <v>0</v>
      </c>
      <c r="V345">
        <v>0</v>
      </c>
      <c r="W345">
        <v>39.809559999999998</v>
      </c>
      <c r="X345">
        <v>121.072485882628</v>
      </c>
      <c r="Y345">
        <v>13.616943359375</v>
      </c>
      <c r="Z345">
        <v>11.163984298706049</v>
      </c>
      <c r="AA345">
        <f t="shared" si="21"/>
        <v>-0.35224076326111042</v>
      </c>
      <c r="AB345">
        <f t="shared" si="22"/>
        <v>1.4837937223312607</v>
      </c>
      <c r="AC345" s="13">
        <f t="shared" si="23"/>
        <v>3.2512094553630955</v>
      </c>
      <c r="AD345" s="13"/>
      <c r="AE345" s="13"/>
      <c r="AF345" s="13"/>
    </row>
    <row r="346" spans="1:32">
      <c r="A346" s="1" t="s">
        <v>721</v>
      </c>
      <c r="B346">
        <v>1392.9837380480578</v>
      </c>
      <c r="C346">
        <v>214.13860432240696</v>
      </c>
      <c r="D346">
        <v>11.009862333333333</v>
      </c>
      <c r="E346">
        <v>57.753233999999999</v>
      </c>
      <c r="F346">
        <v>46.743371666666668</v>
      </c>
      <c r="G346">
        <v>0.42987804878048785</v>
      </c>
      <c r="H346">
        <v>15.311106379888187</v>
      </c>
      <c r="I346">
        <v>4.1323478393836481</v>
      </c>
      <c r="J346">
        <v>2.5327321928688744</v>
      </c>
      <c r="K346">
        <v>0</v>
      </c>
      <c r="L346">
        <f t="shared" si="20"/>
        <v>1.6697200354720401</v>
      </c>
      <c r="M346" t="s">
        <v>605</v>
      </c>
      <c r="N346">
        <v>338</v>
      </c>
      <c r="O346">
        <v>87</v>
      </c>
      <c r="P346">
        <v>1017</v>
      </c>
      <c r="Q346">
        <v>2148.0407461108398</v>
      </c>
      <c r="R346">
        <v>2711.1248266061898</v>
      </c>
      <c r="S346" t="s">
        <v>722</v>
      </c>
      <c r="T346">
        <v>0</v>
      </c>
      <c r="U346">
        <v>0</v>
      </c>
      <c r="V346">
        <v>0</v>
      </c>
      <c r="W346">
        <v>45.496662000000001</v>
      </c>
      <c r="X346">
        <v>59.589532669587697</v>
      </c>
      <c r="Y346">
        <v>8.5276165008544922</v>
      </c>
      <c r="Z346">
        <v>11.610897064208981</v>
      </c>
      <c r="AA346">
        <f t="shared" si="21"/>
        <v>-0.35215971575307359</v>
      </c>
      <c r="AB346">
        <f t="shared" si="22"/>
        <v>0.78270973144437583</v>
      </c>
      <c r="AC346" s="13">
        <f t="shared" si="23"/>
        <v>1.6301887587544104</v>
      </c>
      <c r="AD346" s="13"/>
      <c r="AE346" s="13"/>
      <c r="AF346" s="13"/>
    </row>
    <row r="347" spans="1:32">
      <c r="A347" s="1" t="s">
        <v>723</v>
      </c>
      <c r="B347">
        <v>811.22015169867791</v>
      </c>
      <c r="C347">
        <v>48.549127818333289</v>
      </c>
      <c r="D347">
        <v>11.743848</v>
      </c>
      <c r="E347">
        <v>61.151393333333338</v>
      </c>
      <c r="F347">
        <v>49.407545333333339</v>
      </c>
      <c r="G347">
        <v>0.41589267285861714</v>
      </c>
      <c r="H347">
        <v>22.92328622287728</v>
      </c>
      <c r="I347">
        <v>0.11512555894519445</v>
      </c>
      <c r="J347">
        <v>4.2649899519066253E-2</v>
      </c>
      <c r="K347">
        <v>0</v>
      </c>
      <c r="L347">
        <f t="shared" si="20"/>
        <v>1.6937932777981495</v>
      </c>
      <c r="M347" t="s">
        <v>605</v>
      </c>
      <c r="N347">
        <v>333</v>
      </c>
      <c r="O347">
        <v>3</v>
      </c>
      <c r="P347">
        <v>1002</v>
      </c>
      <c r="Q347">
        <v>75.179208438114301</v>
      </c>
      <c r="R347">
        <v>94.886569917354805</v>
      </c>
      <c r="S347" t="s">
        <v>724</v>
      </c>
      <c r="T347">
        <v>0</v>
      </c>
      <c r="U347">
        <v>0</v>
      </c>
      <c r="V347">
        <v>0</v>
      </c>
      <c r="W347">
        <v>0</v>
      </c>
      <c r="X347" t="s">
        <v>56</v>
      </c>
      <c r="Y347">
        <v>13.69942569732666</v>
      </c>
      <c r="Z347">
        <v>11.91125392913818</v>
      </c>
      <c r="AA347">
        <f t="shared" si="21"/>
        <v>-0.35198392939426404</v>
      </c>
      <c r="AB347">
        <f t="shared" si="22"/>
        <v>1.5664934565865001</v>
      </c>
      <c r="AC347" s="13">
        <f t="shared" si="23"/>
        <v>-0.38097500863368938</v>
      </c>
      <c r="AD347" s="13"/>
      <c r="AE347" s="13"/>
      <c r="AF347" s="13"/>
    </row>
    <row r="348" spans="1:32">
      <c r="A348" s="1" t="s">
        <v>725</v>
      </c>
      <c r="B348">
        <v>1078.4508714750471</v>
      </c>
      <c r="C348">
        <v>211.73217474525234</v>
      </c>
      <c r="D348">
        <v>11.743848</v>
      </c>
      <c r="E348">
        <v>61.222393333333336</v>
      </c>
      <c r="F348">
        <v>49.478545333333329</v>
      </c>
      <c r="G348">
        <v>0.4412081984897519</v>
      </c>
      <c r="H348">
        <v>19.505489214404378</v>
      </c>
      <c r="I348">
        <v>8.5762348783276668E-2</v>
      </c>
      <c r="J348">
        <v>3.3710166066610751E-2</v>
      </c>
      <c r="K348">
        <v>0</v>
      </c>
      <c r="L348">
        <f t="shared" si="20"/>
        <v>1.6944169229095281</v>
      </c>
      <c r="M348" t="s">
        <v>605</v>
      </c>
      <c r="N348">
        <v>319</v>
      </c>
      <c r="O348">
        <v>53</v>
      </c>
      <c r="P348">
        <v>960</v>
      </c>
      <c r="Q348">
        <v>1386.2732789286399</v>
      </c>
      <c r="R348">
        <v>1749.66881320522</v>
      </c>
      <c r="S348" t="s">
        <v>726</v>
      </c>
      <c r="T348">
        <v>0</v>
      </c>
      <c r="U348">
        <v>0</v>
      </c>
      <c r="V348">
        <v>0</v>
      </c>
      <c r="W348">
        <v>0</v>
      </c>
      <c r="X348" t="s">
        <v>56</v>
      </c>
      <c r="Y348">
        <v>12.883623123168951</v>
      </c>
      <c r="Z348">
        <v>11.8848876953125</v>
      </c>
      <c r="AA348">
        <f t="shared" si="21"/>
        <v>-0.35197924470285991</v>
      </c>
      <c r="AB348">
        <f t="shared" si="22"/>
        <v>1.2145819507715503</v>
      </c>
      <c r="AC348" s="13">
        <f t="shared" si="23"/>
        <v>0.89109494986840154</v>
      </c>
      <c r="AD348" s="13"/>
      <c r="AE348" s="13"/>
      <c r="AF348" s="13"/>
    </row>
    <row r="349" spans="1:32">
      <c r="A349" s="1" t="s">
        <v>727</v>
      </c>
      <c r="B349">
        <v>1018.3260987526819</v>
      </c>
      <c r="C349">
        <v>106.6620133679528</v>
      </c>
      <c r="D349">
        <v>152.66864999999999</v>
      </c>
      <c r="E349">
        <v>203.54931999999999</v>
      </c>
      <c r="F349">
        <v>50.880670000000009</v>
      </c>
      <c r="G349">
        <v>0.39814814814814814</v>
      </c>
      <c r="H349">
        <v>18.782884190316803</v>
      </c>
      <c r="I349">
        <v>1.5214596057814715</v>
      </c>
      <c r="J349">
        <v>0.51466145976144761</v>
      </c>
      <c r="K349">
        <v>0</v>
      </c>
      <c r="L349">
        <f t="shared" si="20"/>
        <v>1.7065528214962353</v>
      </c>
      <c r="M349" t="s">
        <v>605</v>
      </c>
      <c r="N349">
        <v>334</v>
      </c>
      <c r="O349">
        <v>18</v>
      </c>
      <c r="P349">
        <v>1005</v>
      </c>
      <c r="Q349">
        <v>449.72875734322702</v>
      </c>
      <c r="R349">
        <v>567.61995855038504</v>
      </c>
      <c r="S349" t="s">
        <v>728</v>
      </c>
      <c r="T349">
        <v>0</v>
      </c>
      <c r="U349">
        <v>0</v>
      </c>
      <c r="V349">
        <v>0</v>
      </c>
      <c r="W349">
        <v>335.53949999999998</v>
      </c>
      <c r="X349">
        <v>1.6916636001137999</v>
      </c>
      <c r="Y349">
        <v>10.941812515258791</v>
      </c>
      <c r="Z349">
        <v>13.541130065917971</v>
      </c>
      <c r="AA349">
        <f t="shared" si="21"/>
        <v>-0.35188673031731732</v>
      </c>
      <c r="AB349">
        <f t="shared" si="22"/>
        <v>1.140179339526441</v>
      </c>
      <c r="AC349" s="13">
        <f t="shared" si="23"/>
        <v>-1.7573754782815067E-2</v>
      </c>
      <c r="AD349" s="13"/>
      <c r="AE349" s="13"/>
      <c r="AF349" s="13"/>
    </row>
    <row r="350" spans="1:32">
      <c r="A350" s="1" t="s">
        <v>729</v>
      </c>
      <c r="B350">
        <v>789.94658337843293</v>
      </c>
      <c r="C350">
        <v>245.20863219685489</v>
      </c>
      <c r="D350">
        <v>0</v>
      </c>
      <c r="E350">
        <v>54.622659999999996</v>
      </c>
      <c r="F350">
        <v>54.622659999999996</v>
      </c>
      <c r="G350">
        <v>0.4284188034188034</v>
      </c>
      <c r="H350">
        <v>22.077967202447695</v>
      </c>
      <c r="I350">
        <v>7.8984800812253966E-2</v>
      </c>
      <c r="J350">
        <v>3.6525618576733414E-2</v>
      </c>
      <c r="K350">
        <v>0</v>
      </c>
      <c r="L350">
        <f t="shared" si="20"/>
        <v>1.7373728454776989</v>
      </c>
      <c r="M350" t="s">
        <v>605</v>
      </c>
      <c r="N350">
        <v>322</v>
      </c>
      <c r="O350">
        <v>0</v>
      </c>
      <c r="P350">
        <v>969</v>
      </c>
      <c r="Q350">
        <v>0</v>
      </c>
      <c r="R350">
        <v>0</v>
      </c>
      <c r="S350" t="s">
        <v>730</v>
      </c>
      <c r="T350">
        <v>0</v>
      </c>
      <c r="U350">
        <v>0</v>
      </c>
      <c r="W350">
        <v>119.42883999999999</v>
      </c>
      <c r="X350">
        <v>0</v>
      </c>
      <c r="Y350">
        <v>11.848416328430179</v>
      </c>
      <c r="Z350">
        <v>13.44108295440674</v>
      </c>
      <c r="AA350">
        <f t="shared" si="21"/>
        <v>-0.35163982794566201</v>
      </c>
      <c r="AB350">
        <f t="shared" si="22"/>
        <v>1.4794556691942322</v>
      </c>
      <c r="AC350" s="13">
        <f t="shared" si="23"/>
        <v>-0.45391654251028785</v>
      </c>
      <c r="AD350" s="13"/>
      <c r="AE350" s="13"/>
      <c r="AF350" s="13"/>
    </row>
    <row r="351" spans="1:32">
      <c r="A351" s="1" t="s">
        <v>731</v>
      </c>
      <c r="B351">
        <v>822.36632252009406</v>
      </c>
      <c r="C351">
        <v>102.79420139794505</v>
      </c>
      <c r="D351">
        <v>0</v>
      </c>
      <c r="E351">
        <v>54.975183333333327</v>
      </c>
      <c r="F351">
        <v>54.975183333333327</v>
      </c>
      <c r="G351">
        <v>0.49201277955271561</v>
      </c>
      <c r="H351">
        <v>17.769186560144103</v>
      </c>
      <c r="I351">
        <v>8.5238567270314716E-2</v>
      </c>
      <c r="J351">
        <v>3.6645242984020304E-2</v>
      </c>
      <c r="K351">
        <v>0</v>
      </c>
      <c r="L351">
        <f t="shared" si="20"/>
        <v>1.7401666863370071</v>
      </c>
      <c r="M351" t="s">
        <v>605</v>
      </c>
      <c r="N351">
        <v>323</v>
      </c>
      <c r="O351">
        <v>21</v>
      </c>
      <c r="P351">
        <v>972</v>
      </c>
      <c r="Q351">
        <v>542.49688064293605</v>
      </c>
      <c r="R351">
        <v>684.70617428017101</v>
      </c>
      <c r="S351" t="s">
        <v>732</v>
      </c>
      <c r="T351">
        <v>0</v>
      </c>
      <c r="U351">
        <v>0</v>
      </c>
      <c r="V351">
        <v>0</v>
      </c>
      <c r="W351">
        <v>164.92554999999999</v>
      </c>
      <c r="X351">
        <v>4.1516076452688502</v>
      </c>
      <c r="Y351">
        <v>12.36624145507812</v>
      </c>
      <c r="Z351">
        <v>13.62271308898926</v>
      </c>
      <c r="AA351">
        <f t="shared" si="21"/>
        <v>-0.35161656790299389</v>
      </c>
      <c r="AB351">
        <f t="shared" si="22"/>
        <v>1.0358045452976548</v>
      </c>
      <c r="AC351" s="13">
        <f t="shared" si="23"/>
        <v>7.2433167994302688E-2</v>
      </c>
      <c r="AD351" s="13"/>
      <c r="AE351" s="13"/>
      <c r="AF351" s="13"/>
    </row>
    <row r="352" spans="1:32">
      <c r="A352" s="1" t="s">
        <v>733</v>
      </c>
      <c r="B352">
        <v>947.55398684638328</v>
      </c>
      <c r="C352">
        <v>30.983497619044751</v>
      </c>
      <c r="D352">
        <v>0</v>
      </c>
      <c r="E352">
        <v>55.548863333333337</v>
      </c>
      <c r="F352">
        <v>55.548863333333337</v>
      </c>
      <c r="G352">
        <v>0.4621938232161874</v>
      </c>
      <c r="H352">
        <v>17.821271081483516</v>
      </c>
      <c r="I352">
        <v>6.5632808813912064E-2</v>
      </c>
      <c r="J352">
        <v>2.3765055579376523E-2</v>
      </c>
      <c r="K352">
        <v>0</v>
      </c>
      <c r="L352">
        <f t="shared" si="20"/>
        <v>1.7446751766322115</v>
      </c>
      <c r="M352" t="s">
        <v>605</v>
      </c>
      <c r="N352">
        <v>323</v>
      </c>
      <c r="O352">
        <v>8</v>
      </c>
      <c r="P352">
        <v>972</v>
      </c>
      <c r="Q352">
        <v>206.665478340166</v>
      </c>
      <c r="R352">
        <v>260.840447344827</v>
      </c>
      <c r="S352" t="s">
        <v>734</v>
      </c>
      <c r="T352">
        <v>0</v>
      </c>
      <c r="U352">
        <v>0</v>
      </c>
      <c r="V352">
        <v>0</v>
      </c>
      <c r="W352">
        <v>0</v>
      </c>
      <c r="X352" t="s">
        <v>56</v>
      </c>
      <c r="Y352">
        <v>11.927718162536619</v>
      </c>
      <c r="Z352">
        <v>12.50645732879639</v>
      </c>
      <c r="AA352">
        <f t="shared" si="21"/>
        <v>-0.35157871559644804</v>
      </c>
      <c r="AB352">
        <f t="shared" si="22"/>
        <v>1.0411673981203251</v>
      </c>
      <c r="AC352" s="13">
        <f t="shared" si="23"/>
        <v>-0.25340236707996772</v>
      </c>
      <c r="AD352" s="13"/>
      <c r="AE352" s="13"/>
      <c r="AF352" s="13"/>
    </row>
    <row r="353" spans="1:32">
      <c r="A353" s="1" t="s">
        <v>735</v>
      </c>
      <c r="B353">
        <v>851.58714183413974</v>
      </c>
      <c r="C353">
        <v>185.63364317326261</v>
      </c>
      <c r="D353">
        <v>0</v>
      </c>
      <c r="E353">
        <v>56.870609999999999</v>
      </c>
      <c r="F353">
        <v>56.870609999999999</v>
      </c>
      <c r="G353">
        <v>0.52896174863387979</v>
      </c>
      <c r="H353">
        <v>19.714510662522038</v>
      </c>
      <c r="I353">
        <v>8.2258983543869152E-2</v>
      </c>
      <c r="J353">
        <v>3.0781716355323809E-2</v>
      </c>
      <c r="K353">
        <v>0</v>
      </c>
      <c r="L353">
        <f t="shared" si="20"/>
        <v>1.7548878865643387</v>
      </c>
      <c r="M353" t="s">
        <v>605</v>
      </c>
      <c r="N353">
        <v>315</v>
      </c>
      <c r="O353">
        <v>9</v>
      </c>
      <c r="P353">
        <v>948</v>
      </c>
      <c r="Q353">
        <v>238.38470523731201</v>
      </c>
      <c r="R353">
        <v>300.87450334553603</v>
      </c>
      <c r="S353" t="s">
        <v>736</v>
      </c>
      <c r="T353">
        <v>0</v>
      </c>
      <c r="U353">
        <v>0</v>
      </c>
      <c r="V353">
        <v>0</v>
      </c>
      <c r="W353">
        <v>170.61183</v>
      </c>
      <c r="X353">
        <v>1.76350317176444</v>
      </c>
      <c r="Y353">
        <v>13.3400411605835</v>
      </c>
      <c r="Z353">
        <v>10.926034927368161</v>
      </c>
      <c r="AA353">
        <f t="shared" si="21"/>
        <v>-0.35149150467746448</v>
      </c>
      <c r="AB353">
        <f t="shared" si="22"/>
        <v>1.2361037241162971</v>
      </c>
      <c r="AC353" s="13">
        <f t="shared" si="23"/>
        <v>-0.22262724838259243</v>
      </c>
      <c r="AD353" s="13"/>
      <c r="AE353" s="13"/>
      <c r="AF353" s="13"/>
    </row>
    <row r="354" spans="1:32">
      <c r="A354" s="1" t="s">
        <v>737</v>
      </c>
      <c r="B354">
        <v>1046.1295333059379</v>
      </c>
      <c r="C354">
        <v>180.96086117308081</v>
      </c>
      <c r="D354">
        <v>623.71301833333325</v>
      </c>
      <c r="E354">
        <v>683.50588000000005</v>
      </c>
      <c r="F354">
        <v>59.792861666666795</v>
      </c>
      <c r="G354">
        <v>0.4854368932038835</v>
      </c>
      <c r="H354">
        <v>19.108707806446503</v>
      </c>
      <c r="I354">
        <v>7.4572313850147967E-2</v>
      </c>
      <c r="J354">
        <v>2.7683093422643721E-2</v>
      </c>
      <c r="K354">
        <v>0</v>
      </c>
      <c r="L354">
        <f t="shared" si="20"/>
        <v>1.7766493391084226</v>
      </c>
      <c r="M354" t="s">
        <v>605</v>
      </c>
      <c r="N354">
        <v>319</v>
      </c>
      <c r="O354">
        <v>12</v>
      </c>
      <c r="P354">
        <v>960</v>
      </c>
      <c r="Q354">
        <v>313.87319522912702</v>
      </c>
      <c r="R354">
        <v>396.15142940495599</v>
      </c>
      <c r="S354" t="s">
        <v>738</v>
      </c>
      <c r="T354">
        <v>0</v>
      </c>
      <c r="U354">
        <v>0</v>
      </c>
      <c r="V354">
        <v>0</v>
      </c>
      <c r="W354">
        <v>1125.4712</v>
      </c>
      <c r="X354">
        <v>0.351987176042315</v>
      </c>
      <c r="Y354">
        <v>12.70269203186035</v>
      </c>
      <c r="Z354">
        <v>13.53674221038818</v>
      </c>
      <c r="AA354">
        <f t="shared" si="21"/>
        <v>-0.3512986899272717</v>
      </c>
      <c r="AB354">
        <f t="shared" si="22"/>
        <v>1.1737275810100705</v>
      </c>
      <c r="AC354" s="13">
        <f t="shared" si="23"/>
        <v>-0.14938563857548931</v>
      </c>
      <c r="AD354" s="13"/>
      <c r="AE354" s="13"/>
      <c r="AF354" s="13"/>
    </row>
    <row r="355" spans="1:32">
      <c r="A355" s="1" t="s">
        <v>739</v>
      </c>
      <c r="B355">
        <v>892.57179424423146</v>
      </c>
      <c r="C355">
        <v>194.1543890628808</v>
      </c>
      <c r="D355">
        <v>2.1058073333333334</v>
      </c>
      <c r="E355">
        <v>64.046413333333334</v>
      </c>
      <c r="F355">
        <v>61.940606000000002</v>
      </c>
      <c r="G355">
        <v>0.51735015772870663</v>
      </c>
      <c r="H355">
        <v>17.087405084496208</v>
      </c>
      <c r="I355">
        <v>7.4280362031664118E-2</v>
      </c>
      <c r="J355">
        <v>4.135025428602266E-2</v>
      </c>
      <c r="K355">
        <v>0</v>
      </c>
      <c r="L355">
        <f t="shared" si="20"/>
        <v>1.7919754499902318</v>
      </c>
      <c r="M355" t="s">
        <v>605</v>
      </c>
      <c r="N355">
        <v>327</v>
      </c>
      <c r="O355">
        <v>49</v>
      </c>
      <c r="P355">
        <v>984</v>
      </c>
      <c r="Q355">
        <v>1250.38915172579</v>
      </c>
      <c r="R355">
        <v>1578.1642309628301</v>
      </c>
      <c r="S355" t="s">
        <v>740</v>
      </c>
      <c r="T355">
        <v>0</v>
      </c>
      <c r="U355">
        <v>0</v>
      </c>
      <c r="V355">
        <v>0</v>
      </c>
      <c r="W355">
        <v>80.756510000000006</v>
      </c>
      <c r="X355">
        <v>19.542254004820499</v>
      </c>
      <c r="Y355">
        <v>12.904637336730961</v>
      </c>
      <c r="Z355">
        <v>11.31735229492188</v>
      </c>
      <c r="AA355">
        <f t="shared" si="21"/>
        <v>-0.35115697838619081</v>
      </c>
      <c r="AB355">
        <f t="shared" si="22"/>
        <v>0.96560530726883143</v>
      </c>
      <c r="AC355" s="13">
        <f t="shared" si="23"/>
        <v>0.75925535121370591</v>
      </c>
      <c r="AD355" s="13"/>
      <c r="AE355" s="13"/>
      <c r="AF355" s="13"/>
    </row>
    <row r="356" spans="1:32">
      <c r="A356" s="1" t="s">
        <v>741</v>
      </c>
      <c r="B356">
        <v>1088.1636339925087</v>
      </c>
      <c r="C356">
        <v>236.89419037831252</v>
      </c>
      <c r="D356">
        <v>1027.2266499999998</v>
      </c>
      <c r="E356">
        <v>1090.1339566666666</v>
      </c>
      <c r="F356">
        <v>62.907306666666649</v>
      </c>
      <c r="G356">
        <v>0.53650793650793649</v>
      </c>
      <c r="H356">
        <v>17.628934094557355</v>
      </c>
      <c r="I356">
        <v>0.74546539917334209</v>
      </c>
      <c r="J356">
        <v>0.34121858580347542</v>
      </c>
      <c r="K356">
        <v>0</v>
      </c>
      <c r="L356">
        <f t="shared" si="20"/>
        <v>1.7987010915616684</v>
      </c>
      <c r="M356" t="s">
        <v>605</v>
      </c>
      <c r="N356">
        <v>325</v>
      </c>
      <c r="O356">
        <v>19</v>
      </c>
      <c r="P356">
        <v>978</v>
      </c>
      <c r="Q356">
        <v>487.81928092870498</v>
      </c>
      <c r="R356">
        <v>615.69547310381699</v>
      </c>
      <c r="S356" t="s">
        <v>742</v>
      </c>
      <c r="T356">
        <v>0</v>
      </c>
      <c r="U356">
        <v>0</v>
      </c>
      <c r="V356">
        <v>0</v>
      </c>
      <c r="W356">
        <v>1738.7944</v>
      </c>
      <c r="X356">
        <v>0.35409331494500801</v>
      </c>
      <c r="Y356">
        <v>9.1329841613769531</v>
      </c>
      <c r="Z356">
        <v>12.963455200195311</v>
      </c>
      <c r="AA356">
        <f t="shared" si="21"/>
        <v>-0.35109319395938027</v>
      </c>
      <c r="AB356">
        <f t="shared" si="22"/>
        <v>1.021363530738705</v>
      </c>
      <c r="AC356" s="13">
        <f t="shared" si="23"/>
        <v>1.9383021887354471E-2</v>
      </c>
      <c r="AD356" s="13"/>
      <c r="AE356" s="13"/>
      <c r="AF356" s="13"/>
    </row>
    <row r="357" spans="1:32">
      <c r="A357" s="1" t="s">
        <v>743</v>
      </c>
      <c r="B357">
        <v>421.23954764253023</v>
      </c>
      <c r="C357">
        <v>94.17727164606795</v>
      </c>
      <c r="D357">
        <v>561.88442699999996</v>
      </c>
      <c r="E357">
        <v>624.91919666666672</v>
      </c>
      <c r="F357">
        <v>63.034769666666683</v>
      </c>
      <c r="G357">
        <v>0.42550911039657024</v>
      </c>
      <c r="H357">
        <v>7.8319820718200441</v>
      </c>
      <c r="I357">
        <v>8.8592838390384301E-2</v>
      </c>
      <c r="J357">
        <v>5.6843556238438703E-2</v>
      </c>
      <c r="K357">
        <v>0</v>
      </c>
      <c r="L357">
        <f t="shared" si="20"/>
        <v>1.7995801702311491</v>
      </c>
      <c r="M357" t="s">
        <v>605</v>
      </c>
      <c r="N357">
        <v>321</v>
      </c>
      <c r="O357">
        <v>16</v>
      </c>
      <c r="P357">
        <v>966</v>
      </c>
      <c r="Q357">
        <v>415.89822970319102</v>
      </c>
      <c r="R357">
        <v>524.92114869393697</v>
      </c>
      <c r="S357" t="s">
        <v>744</v>
      </c>
      <c r="T357">
        <v>0</v>
      </c>
      <c r="U357">
        <v>0</v>
      </c>
      <c r="V357">
        <v>0</v>
      </c>
      <c r="W357">
        <v>955.43993999999998</v>
      </c>
      <c r="X357">
        <v>0.54940255971917795</v>
      </c>
      <c r="Y357">
        <v>13.001884460449221</v>
      </c>
      <c r="Z357">
        <v>11.91807174682617</v>
      </c>
      <c r="AA357">
        <f t="shared" si="21"/>
        <v>-0.35108478375064156</v>
      </c>
      <c r="AB357">
        <f t="shared" si="22"/>
        <v>1.2625993029071933E-2</v>
      </c>
      <c r="AC357" s="13">
        <f t="shared" si="23"/>
        <v>-5.0397332327532067E-2</v>
      </c>
      <c r="AD357" s="13"/>
      <c r="AE357" s="13"/>
      <c r="AF357" s="13"/>
    </row>
    <row r="358" spans="1:32">
      <c r="A358" s="1" t="s">
        <v>745</v>
      </c>
      <c r="B358">
        <v>777.88928619844762</v>
      </c>
      <c r="C358">
        <v>148.6894750972634</v>
      </c>
      <c r="D358">
        <v>25.9994768</v>
      </c>
      <c r="E358">
        <v>91.117974000000004</v>
      </c>
      <c r="F358">
        <v>65.118497199999993</v>
      </c>
      <c r="G358">
        <v>0.39743589743589747</v>
      </c>
      <c r="H358">
        <v>18.32285101796078</v>
      </c>
      <c r="I358">
        <v>4.3775709344272764</v>
      </c>
      <c r="J358">
        <v>1.4563715315825987</v>
      </c>
      <c r="K358">
        <v>0</v>
      </c>
      <c r="L358">
        <f t="shared" si="20"/>
        <v>1.8137043693799417</v>
      </c>
      <c r="M358" t="s">
        <v>605</v>
      </c>
      <c r="N358">
        <v>322</v>
      </c>
      <c r="O358">
        <v>1</v>
      </c>
      <c r="P358">
        <v>969</v>
      </c>
      <c r="Q358">
        <v>25.913163692807199</v>
      </c>
      <c r="R358">
        <v>32.706000363670199</v>
      </c>
      <c r="S358" t="s">
        <v>746</v>
      </c>
      <c r="T358">
        <v>0</v>
      </c>
      <c r="U358">
        <v>0</v>
      </c>
      <c r="V358">
        <v>0</v>
      </c>
      <c r="W358">
        <v>45.496662000000001</v>
      </c>
      <c r="X358">
        <v>0.71886593270667298</v>
      </c>
      <c r="Y358">
        <v>11.554670333862299</v>
      </c>
      <c r="Z358">
        <v>13.60648155212402</v>
      </c>
      <c r="AA358">
        <f t="shared" si="21"/>
        <v>-0.3509472961384717</v>
      </c>
      <c r="AB358">
        <f t="shared" si="22"/>
        <v>1.0928122881751465</v>
      </c>
      <c r="AC358" s="13">
        <f t="shared" si="23"/>
        <v>-0.42877467221639326</v>
      </c>
      <c r="AD358" s="13"/>
      <c r="AE358" s="13"/>
      <c r="AF358" s="13"/>
    </row>
    <row r="359" spans="1:32">
      <c r="A359" s="1" t="s">
        <v>747</v>
      </c>
      <c r="B359">
        <v>1019.8310752094876</v>
      </c>
      <c r="C359">
        <v>173.76480425844943</v>
      </c>
      <c r="D359">
        <v>0</v>
      </c>
      <c r="E359">
        <v>65.171951333333325</v>
      </c>
      <c r="F359">
        <v>65.171951333333325</v>
      </c>
      <c r="G359">
        <v>0.44017094017094016</v>
      </c>
      <c r="H359">
        <v>21.100198277907413</v>
      </c>
      <c r="I359">
        <v>7.4976354595014366E-2</v>
      </c>
      <c r="J359">
        <v>4.3814469919517998E-2</v>
      </c>
      <c r="K359">
        <v>0</v>
      </c>
      <c r="L359">
        <f t="shared" si="20"/>
        <v>1.8140607245342208</v>
      </c>
      <c r="M359" t="s">
        <v>605</v>
      </c>
      <c r="N359">
        <v>322</v>
      </c>
      <c r="O359">
        <v>5</v>
      </c>
      <c r="P359">
        <v>969</v>
      </c>
      <c r="Q359">
        <v>129.565818464036</v>
      </c>
      <c r="R359">
        <v>163.530001818351</v>
      </c>
      <c r="S359" t="s">
        <v>748</v>
      </c>
      <c r="T359">
        <v>0</v>
      </c>
      <c r="U359">
        <v>0</v>
      </c>
      <c r="V359">
        <v>0</v>
      </c>
      <c r="W359">
        <v>0</v>
      </c>
      <c r="X359" t="s">
        <v>56</v>
      </c>
      <c r="Y359">
        <v>12.238625526428221</v>
      </c>
      <c r="Z359">
        <v>13.24927806854248</v>
      </c>
      <c r="AA359">
        <f t="shared" si="21"/>
        <v>-0.35094376915088088</v>
      </c>
      <c r="AB359">
        <f t="shared" si="22"/>
        <v>1.3787802535036509</v>
      </c>
      <c r="AC359" s="13">
        <f t="shared" si="23"/>
        <v>-0.32820719104081469</v>
      </c>
      <c r="AD359" s="13"/>
      <c r="AE359" s="13"/>
      <c r="AF359" s="13"/>
    </row>
    <row r="360" spans="1:32">
      <c r="A360" s="1" t="s">
        <v>749</v>
      </c>
      <c r="B360">
        <v>941.43284029622066</v>
      </c>
      <c r="C360">
        <v>79.830973196023848</v>
      </c>
      <c r="D360">
        <v>96.628515333333326</v>
      </c>
      <c r="E360">
        <v>162.77164000000002</v>
      </c>
      <c r="F360">
        <v>66.143124666666679</v>
      </c>
      <c r="G360">
        <v>0.41666666666666663</v>
      </c>
      <c r="H360">
        <v>17.987140725310081</v>
      </c>
      <c r="I360">
        <v>7.0527987977926213E-2</v>
      </c>
      <c r="J360">
        <v>3.9167072082342144E-2</v>
      </c>
      <c r="K360">
        <v>0</v>
      </c>
      <c r="L360">
        <f t="shared" si="20"/>
        <v>1.8204847075634265</v>
      </c>
      <c r="M360" t="s">
        <v>605</v>
      </c>
      <c r="N360">
        <v>322</v>
      </c>
      <c r="O360">
        <v>0</v>
      </c>
      <c r="P360">
        <v>969</v>
      </c>
      <c r="Q360">
        <v>0</v>
      </c>
      <c r="R360">
        <v>0</v>
      </c>
      <c r="S360" t="s">
        <v>750</v>
      </c>
      <c r="T360">
        <v>0</v>
      </c>
      <c r="U360">
        <v>0</v>
      </c>
      <c r="W360">
        <v>255.91818000000001</v>
      </c>
      <c r="X360">
        <v>0</v>
      </c>
      <c r="Y360">
        <v>13.517952919006349</v>
      </c>
      <c r="Z360">
        <v>11.837605476379389</v>
      </c>
      <c r="AA360">
        <f t="shared" si="21"/>
        <v>-0.35087968961050575</v>
      </c>
      <c r="AB360">
        <f t="shared" si="22"/>
        <v>1.0582460707223813</v>
      </c>
      <c r="AC360" s="13">
        <f t="shared" si="23"/>
        <v>-0.45391654251028785</v>
      </c>
      <c r="AD360" s="13"/>
      <c r="AE360" s="13"/>
      <c r="AF360" s="13"/>
    </row>
    <row r="361" spans="1:32">
      <c r="A361" s="1" t="s">
        <v>751</v>
      </c>
      <c r="B361">
        <v>1014.6745350798016</v>
      </c>
      <c r="C361">
        <v>151.51090052282993</v>
      </c>
      <c r="D361">
        <v>0</v>
      </c>
      <c r="E361">
        <v>66.75367</v>
      </c>
      <c r="F361">
        <v>66.75367</v>
      </c>
      <c r="G361">
        <v>0.48327939590075514</v>
      </c>
      <c r="H361">
        <v>15.90120927936807</v>
      </c>
      <c r="I361">
        <v>6.8050108670222723E-2</v>
      </c>
      <c r="J361">
        <v>3.8933956238099705E-2</v>
      </c>
      <c r="K361">
        <v>0</v>
      </c>
      <c r="L361">
        <f t="shared" si="20"/>
        <v>1.824475147443863</v>
      </c>
      <c r="M361" t="s">
        <v>605</v>
      </c>
      <c r="N361">
        <v>319</v>
      </c>
      <c r="O361">
        <v>9</v>
      </c>
      <c r="P361">
        <v>960</v>
      </c>
      <c r="Q361">
        <v>235.404896421845</v>
      </c>
      <c r="R361">
        <v>297.11357205371701</v>
      </c>
      <c r="S361" t="s">
        <v>752</v>
      </c>
      <c r="T361">
        <v>0</v>
      </c>
      <c r="U361">
        <v>0</v>
      </c>
      <c r="V361">
        <v>0</v>
      </c>
      <c r="W361">
        <v>0</v>
      </c>
      <c r="X361" t="s">
        <v>56</v>
      </c>
      <c r="Y361">
        <v>13.465340614318849</v>
      </c>
      <c r="Z361">
        <v>11.070803642272949</v>
      </c>
      <c r="AA361">
        <f t="shared" si="21"/>
        <v>-0.35083940487142223</v>
      </c>
      <c r="AB361">
        <f t="shared" si="22"/>
        <v>0.8434693375376936</v>
      </c>
      <c r="AC361" s="13">
        <f t="shared" si="23"/>
        <v>-0.22551836455918922</v>
      </c>
      <c r="AD361" s="13"/>
      <c r="AE361" s="13"/>
      <c r="AF361" s="13"/>
    </row>
    <row r="362" spans="1:32">
      <c r="A362" s="1" t="s">
        <v>753</v>
      </c>
      <c r="B362">
        <v>1067.4860204448696</v>
      </c>
      <c r="C362">
        <v>33.460329083696962</v>
      </c>
      <c r="D362">
        <v>17.580457300000003</v>
      </c>
      <c r="E362">
        <v>86.062476666666655</v>
      </c>
      <c r="F362">
        <v>68.482019366666663</v>
      </c>
      <c r="G362">
        <v>0.48112189859762677</v>
      </c>
      <c r="H362">
        <v>18.347423025822192</v>
      </c>
      <c r="I362">
        <v>0.63182424354997879</v>
      </c>
      <c r="J362">
        <v>0.19877519997781223</v>
      </c>
      <c r="K362">
        <v>0</v>
      </c>
      <c r="L362">
        <f t="shared" si="20"/>
        <v>1.8355765581362384</v>
      </c>
      <c r="M362" t="s">
        <v>605</v>
      </c>
      <c r="N362">
        <v>319</v>
      </c>
      <c r="O362">
        <v>6</v>
      </c>
      <c r="P362">
        <v>960</v>
      </c>
      <c r="Q362">
        <v>156.936597614563</v>
      </c>
      <c r="R362">
        <v>198.075714702478</v>
      </c>
      <c r="S362" t="s">
        <v>754</v>
      </c>
      <c r="T362">
        <v>0</v>
      </c>
      <c r="U362">
        <v>0</v>
      </c>
      <c r="V362">
        <v>0</v>
      </c>
      <c r="W362">
        <v>90.99333</v>
      </c>
      <c r="X362">
        <v>2.1768157589405499</v>
      </c>
      <c r="Y362">
        <v>11.239559173583981</v>
      </c>
      <c r="Z362">
        <v>11.21257209777832</v>
      </c>
      <c r="AA362">
        <f t="shared" si="21"/>
        <v>-0.35072536566830337</v>
      </c>
      <c r="AB362">
        <f t="shared" si="22"/>
        <v>1.0953423308505803</v>
      </c>
      <c r="AC362" s="13">
        <f t="shared" si="23"/>
        <v>-0.30165109054288913</v>
      </c>
      <c r="AD362" s="13"/>
      <c r="AE362" s="13"/>
      <c r="AF362" s="13"/>
    </row>
    <row r="363" spans="1:32">
      <c r="A363" s="1" t="s">
        <v>755</v>
      </c>
      <c r="B363">
        <v>1011.1161157610985</v>
      </c>
      <c r="C363">
        <v>18.608490728894157</v>
      </c>
      <c r="D363">
        <v>0</v>
      </c>
      <c r="E363">
        <v>71.378801333333328</v>
      </c>
      <c r="F363">
        <v>71.378801333333328</v>
      </c>
      <c r="G363">
        <v>0.49685534591194969</v>
      </c>
      <c r="H363">
        <v>15.910666902458852</v>
      </c>
      <c r="I363">
        <v>0.21367718103100306</v>
      </c>
      <c r="J363">
        <v>6.8953147163964057E-2</v>
      </c>
      <c r="K363">
        <v>0</v>
      </c>
      <c r="L363">
        <f t="shared" si="20"/>
        <v>1.8535692505587007</v>
      </c>
      <c r="M363" t="s">
        <v>605</v>
      </c>
      <c r="N363">
        <v>328</v>
      </c>
      <c r="O363">
        <v>19</v>
      </c>
      <c r="P363">
        <v>987</v>
      </c>
      <c r="Q363">
        <v>483.37108079865601</v>
      </c>
      <c r="R363">
        <v>610.08122866821998</v>
      </c>
      <c r="S363" t="s">
        <v>756</v>
      </c>
      <c r="T363">
        <v>0</v>
      </c>
      <c r="U363">
        <v>0</v>
      </c>
      <c r="V363">
        <v>0</v>
      </c>
      <c r="W363">
        <v>125.115944</v>
      </c>
      <c r="X363">
        <v>4.8761269680243098</v>
      </c>
      <c r="Y363">
        <v>9.1713581085205078</v>
      </c>
      <c r="Z363">
        <v>12.381050109863279</v>
      </c>
      <c r="AA363">
        <f t="shared" si="21"/>
        <v>-0.35053423144888041</v>
      </c>
      <c r="AB363">
        <f t="shared" si="22"/>
        <v>0.84444313626683298</v>
      </c>
      <c r="AC363" s="13">
        <f t="shared" si="23"/>
        <v>1.506722038828783E-2</v>
      </c>
      <c r="AD363" s="13"/>
      <c r="AE363" s="13"/>
      <c r="AF363" s="13"/>
    </row>
    <row r="364" spans="1:32">
      <c r="A364" s="1" t="s">
        <v>757</v>
      </c>
      <c r="B364">
        <v>82.897203984606648</v>
      </c>
      <c r="C364">
        <v>16.160677483814524</v>
      </c>
      <c r="D364">
        <v>73.881847000000008</v>
      </c>
      <c r="E364">
        <v>145.331424</v>
      </c>
      <c r="F364">
        <v>71.449577000000019</v>
      </c>
      <c r="G364">
        <v>0.4604700854700855</v>
      </c>
      <c r="H364">
        <v>9.9824027153453412E-2</v>
      </c>
      <c r="I364">
        <v>8.984763924358341E-2</v>
      </c>
      <c r="J364">
        <v>1.9863036415252631E-2</v>
      </c>
      <c r="K364">
        <v>1</v>
      </c>
      <c r="L364">
        <f t="shared" si="20"/>
        <v>1.8539996619987926</v>
      </c>
      <c r="M364" t="s">
        <v>605</v>
      </c>
      <c r="N364">
        <v>322</v>
      </c>
      <c r="O364">
        <v>9</v>
      </c>
      <c r="P364">
        <v>969</v>
      </c>
      <c r="Q364">
        <v>233.21847323526401</v>
      </c>
      <c r="R364">
        <v>294.35400327303199</v>
      </c>
      <c r="S364" t="s">
        <v>758</v>
      </c>
      <c r="T364">
        <v>0</v>
      </c>
      <c r="U364">
        <v>0</v>
      </c>
      <c r="V364">
        <v>0</v>
      </c>
      <c r="W364">
        <v>45.496662000000001</v>
      </c>
      <c r="X364">
        <v>6.4697933943600603</v>
      </c>
      <c r="Y364">
        <v>12.48696327209473</v>
      </c>
      <c r="Z364">
        <v>13.120359420776371</v>
      </c>
      <c r="AA364">
        <f t="shared" si="21"/>
        <v>-0.35052956155934156</v>
      </c>
      <c r="AB364">
        <f t="shared" si="22"/>
        <v>-0.78351121873400376</v>
      </c>
      <c r="AC364" s="13">
        <f t="shared" si="23"/>
        <v>-0.22763970986523693</v>
      </c>
      <c r="AD364" s="13"/>
      <c r="AE364" s="13"/>
      <c r="AF364" s="13"/>
    </row>
    <row r="365" spans="1:32">
      <c r="A365" s="1" t="s">
        <v>759</v>
      </c>
      <c r="B365">
        <v>877.1387860586093</v>
      </c>
      <c r="C365">
        <v>122.20457028459505</v>
      </c>
      <c r="D365">
        <v>17.433659299999999</v>
      </c>
      <c r="E365">
        <v>89.097840000000005</v>
      </c>
      <c r="F365">
        <v>71.664180700000003</v>
      </c>
      <c r="G365">
        <v>0.46516613076098601</v>
      </c>
      <c r="H365">
        <v>18.564833618282446</v>
      </c>
      <c r="I365">
        <v>0.18170850960640825</v>
      </c>
      <c r="J365">
        <v>2.3889392489467604E-2</v>
      </c>
      <c r="K365">
        <v>0</v>
      </c>
      <c r="L365">
        <f t="shared" si="20"/>
        <v>1.8553021401680654</v>
      </c>
      <c r="M365" t="s">
        <v>605</v>
      </c>
      <c r="N365">
        <v>321</v>
      </c>
      <c r="O365">
        <v>14</v>
      </c>
      <c r="P365">
        <v>966</v>
      </c>
      <c r="Q365">
        <v>363.91095099029201</v>
      </c>
      <c r="R365">
        <v>459.30600510719501</v>
      </c>
      <c r="S365" t="s">
        <v>760</v>
      </c>
      <c r="T365">
        <v>0</v>
      </c>
      <c r="U365">
        <v>0</v>
      </c>
      <c r="V365">
        <v>0</v>
      </c>
      <c r="W365">
        <v>267.29352</v>
      </c>
      <c r="X365">
        <v>1.71835817459097</v>
      </c>
      <c r="Y365">
        <v>13.03860378265381</v>
      </c>
      <c r="Z365">
        <v>13.459757804870611</v>
      </c>
      <c r="AA365">
        <f t="shared" si="21"/>
        <v>-0.35051540167048673</v>
      </c>
      <c r="AB365">
        <f t="shared" si="22"/>
        <v>1.1177278876238872</v>
      </c>
      <c r="AC365" s="13">
        <f t="shared" si="23"/>
        <v>-0.10083723360037668</v>
      </c>
      <c r="AD365" s="13"/>
      <c r="AE365" s="13"/>
      <c r="AF365" s="13"/>
    </row>
    <row r="366" spans="1:32">
      <c r="A366" s="1" t="s">
        <v>761</v>
      </c>
      <c r="B366">
        <v>970.04921428741818</v>
      </c>
      <c r="C366">
        <v>123.7763532023736</v>
      </c>
      <c r="D366">
        <v>258.01386666666667</v>
      </c>
      <c r="E366">
        <v>331.78812333333332</v>
      </c>
      <c r="F366">
        <v>73.774256666666673</v>
      </c>
      <c r="G366">
        <v>0.43762781186094069</v>
      </c>
      <c r="H366">
        <v>20.55089155123385</v>
      </c>
      <c r="I366">
        <v>0.45066859131868259</v>
      </c>
      <c r="J366">
        <v>0.14190263513291543</v>
      </c>
      <c r="K366">
        <v>0</v>
      </c>
      <c r="L366">
        <f t="shared" si="20"/>
        <v>1.8679048423374836</v>
      </c>
      <c r="M366" t="s">
        <v>605</v>
      </c>
      <c r="N366">
        <v>336</v>
      </c>
      <c r="O366">
        <v>17</v>
      </c>
      <c r="P366">
        <v>1011</v>
      </c>
      <c r="Q366">
        <v>422.22309150505703</v>
      </c>
      <c r="R366">
        <v>532.90399999084104</v>
      </c>
      <c r="S366" t="s">
        <v>762</v>
      </c>
      <c r="T366">
        <v>0</v>
      </c>
      <c r="U366">
        <v>0</v>
      </c>
      <c r="V366">
        <v>0</v>
      </c>
      <c r="W366">
        <v>600.27013999999997</v>
      </c>
      <c r="X366">
        <v>0.88777362803827098</v>
      </c>
      <c r="Y366">
        <v>9.5815000534057617</v>
      </c>
      <c r="Z366">
        <v>12.9688777923584</v>
      </c>
      <c r="AA366">
        <f t="shared" si="21"/>
        <v>-0.35037617554734291</v>
      </c>
      <c r="AB366">
        <f t="shared" si="22"/>
        <v>1.3222212019102546</v>
      </c>
      <c r="AC366" s="13">
        <f t="shared" si="23"/>
        <v>-4.4260727128165263E-2</v>
      </c>
      <c r="AD366" s="13"/>
      <c r="AE366" s="13"/>
      <c r="AF366" s="13"/>
    </row>
    <row r="367" spans="1:32">
      <c r="A367" s="1" t="s">
        <v>763</v>
      </c>
      <c r="B367">
        <v>880.42019327861726</v>
      </c>
      <c r="C367">
        <v>175.54392853104071</v>
      </c>
      <c r="D367">
        <v>19.083676666666666</v>
      </c>
      <c r="E367">
        <v>93.333898000000019</v>
      </c>
      <c r="F367">
        <v>74.250221333333343</v>
      </c>
      <c r="G367">
        <v>0.45473251028806583</v>
      </c>
      <c r="H367">
        <v>21.457764975352791</v>
      </c>
      <c r="I367">
        <v>1.1901513773064953</v>
      </c>
      <c r="J367">
        <v>0.29972133811094198</v>
      </c>
      <c r="K367">
        <v>0</v>
      </c>
      <c r="L367">
        <f t="shared" si="20"/>
        <v>1.8706977525845641</v>
      </c>
      <c r="M367" t="s">
        <v>605</v>
      </c>
      <c r="N367">
        <v>334</v>
      </c>
      <c r="O367">
        <v>10</v>
      </c>
      <c r="P367">
        <v>1005</v>
      </c>
      <c r="Q367">
        <v>249.84930963512599</v>
      </c>
      <c r="R367">
        <v>315.34442141687998</v>
      </c>
      <c r="S367" t="s">
        <v>764</v>
      </c>
      <c r="T367">
        <v>0</v>
      </c>
      <c r="U367">
        <v>0</v>
      </c>
      <c r="V367">
        <v>0</v>
      </c>
      <c r="W367">
        <v>90.993324000000001</v>
      </c>
      <c r="X367">
        <v>3.4655775561829101</v>
      </c>
      <c r="Y367">
        <v>12.16242790222168</v>
      </c>
      <c r="Z367">
        <v>13.28462982177734</v>
      </c>
      <c r="AA367">
        <f t="shared" si="21"/>
        <v>-0.35034477065181291</v>
      </c>
      <c r="AB367">
        <f t="shared" si="22"/>
        <v>1.4155969031219102</v>
      </c>
      <c r="AC367" s="13">
        <f t="shared" si="23"/>
        <v>-0.21150388266169198</v>
      </c>
      <c r="AD367" s="13"/>
      <c r="AE367" s="13"/>
      <c r="AF367" s="13"/>
    </row>
    <row r="368" spans="1:32">
      <c r="A368" s="1" t="s">
        <v>765</v>
      </c>
      <c r="B368">
        <v>763.27093121413088</v>
      </c>
      <c r="C368">
        <v>277.11857358560991</v>
      </c>
      <c r="D368">
        <v>0</v>
      </c>
      <c r="E368">
        <v>74.677797999999996</v>
      </c>
      <c r="F368">
        <v>74.677797999999996</v>
      </c>
      <c r="G368">
        <v>0.43837084673097537</v>
      </c>
      <c r="H368">
        <v>18.831132515167887</v>
      </c>
      <c r="I368">
        <v>7.2041970075545549</v>
      </c>
      <c r="J368">
        <v>1.606294592111378</v>
      </c>
      <c r="K368">
        <v>0</v>
      </c>
      <c r="L368">
        <f t="shared" si="20"/>
        <v>1.8731915035653601</v>
      </c>
      <c r="M368" t="s">
        <v>605</v>
      </c>
      <c r="N368">
        <v>321</v>
      </c>
      <c r="O368">
        <v>10</v>
      </c>
      <c r="P368">
        <v>966</v>
      </c>
      <c r="Q368">
        <v>259.93639356449398</v>
      </c>
      <c r="R368">
        <v>328.07571793371102</v>
      </c>
      <c r="S368" t="s">
        <v>766</v>
      </c>
      <c r="T368">
        <v>0</v>
      </c>
      <c r="U368">
        <v>0</v>
      </c>
      <c r="V368">
        <v>0</v>
      </c>
      <c r="W368">
        <v>90.993324000000001</v>
      </c>
      <c r="X368">
        <v>3.60549217801639</v>
      </c>
      <c r="Y368">
        <v>11.7137565612793</v>
      </c>
      <c r="Z368">
        <v>13.58493232727051</v>
      </c>
      <c r="AA368">
        <f t="shared" si="21"/>
        <v>-0.3503165584724473</v>
      </c>
      <c r="AB368">
        <f t="shared" si="22"/>
        <v>1.1451472005811796</v>
      </c>
      <c r="AC368" s="13">
        <f t="shared" si="23"/>
        <v>-0.2017170361460659</v>
      </c>
      <c r="AD368" s="13"/>
      <c r="AE368" s="13"/>
      <c r="AF368" s="13"/>
    </row>
    <row r="369" spans="1:32">
      <c r="A369" s="1" t="s">
        <v>767</v>
      </c>
      <c r="B369">
        <v>850.4949042830898</v>
      </c>
      <c r="C369">
        <v>173.94309073067839</v>
      </c>
      <c r="D369">
        <v>288.28956466666665</v>
      </c>
      <c r="E369">
        <v>364.12795566666665</v>
      </c>
      <c r="F369">
        <v>75.838391000000001</v>
      </c>
      <c r="G369">
        <v>0.5</v>
      </c>
      <c r="H369">
        <v>19.860239021540039</v>
      </c>
      <c r="I369">
        <v>10.466972192930843</v>
      </c>
      <c r="J369">
        <v>5.172997715822417</v>
      </c>
      <c r="K369">
        <v>0</v>
      </c>
      <c r="L369">
        <f t="shared" si="20"/>
        <v>1.8798891103633162</v>
      </c>
      <c r="M369" t="s">
        <v>605</v>
      </c>
      <c r="N369">
        <v>326</v>
      </c>
      <c r="O369">
        <v>2</v>
      </c>
      <c r="P369">
        <v>981</v>
      </c>
      <c r="Q369">
        <v>51.192366194353099</v>
      </c>
      <c r="R369">
        <v>64.611853929452593</v>
      </c>
      <c r="S369" t="s">
        <v>768</v>
      </c>
      <c r="T369">
        <v>0</v>
      </c>
      <c r="U369">
        <v>0</v>
      </c>
      <c r="V369">
        <v>0</v>
      </c>
      <c r="W369">
        <v>716.57587000000001</v>
      </c>
      <c r="X369">
        <v>9.0167498843426799E-2</v>
      </c>
      <c r="Y369">
        <v>11.80601119995117</v>
      </c>
      <c r="Z369">
        <v>12.50847721099854</v>
      </c>
      <c r="AA369">
        <f t="shared" si="21"/>
        <v>-0.3502399807252522</v>
      </c>
      <c r="AB369">
        <f t="shared" si="22"/>
        <v>1.2511085608970747</v>
      </c>
      <c r="AC369" s="13">
        <f t="shared" si="23"/>
        <v>-0.40424789355048374</v>
      </c>
      <c r="AD369" s="13"/>
      <c r="AE369" s="13"/>
      <c r="AF369" s="13"/>
    </row>
    <row r="370" spans="1:32">
      <c r="A370" s="1" t="s">
        <v>769</v>
      </c>
      <c r="B370">
        <v>1004.4856664395274</v>
      </c>
      <c r="C370">
        <v>209.79295454311438</v>
      </c>
      <c r="D370">
        <v>0</v>
      </c>
      <c r="E370">
        <v>77.556613333333331</v>
      </c>
      <c r="F370">
        <v>77.556613333333331</v>
      </c>
      <c r="G370">
        <v>0.49532710280373832</v>
      </c>
      <c r="H370">
        <v>20.475721084018829</v>
      </c>
      <c r="I370">
        <v>7.4598298283400102E-2</v>
      </c>
      <c r="J370">
        <v>4.1684861130294196E-2</v>
      </c>
      <c r="K370">
        <v>0</v>
      </c>
      <c r="L370">
        <f t="shared" si="20"/>
        <v>1.8896188364721929</v>
      </c>
      <c r="M370" t="s">
        <v>605</v>
      </c>
      <c r="N370">
        <v>331</v>
      </c>
      <c r="O370">
        <v>0</v>
      </c>
      <c r="P370">
        <v>996</v>
      </c>
      <c r="Q370">
        <v>0</v>
      </c>
      <c r="R370">
        <v>0</v>
      </c>
      <c r="S370" t="s">
        <v>770</v>
      </c>
      <c r="T370">
        <v>0</v>
      </c>
      <c r="U370">
        <v>0</v>
      </c>
      <c r="W370">
        <v>125.11595</v>
      </c>
      <c r="X370">
        <v>0</v>
      </c>
      <c r="Y370">
        <v>13.200154304504389</v>
      </c>
      <c r="Z370">
        <v>12.82711029052734</v>
      </c>
      <c r="AA370">
        <f t="shared" si="21"/>
        <v>-0.35012660971968268</v>
      </c>
      <c r="AB370">
        <f t="shared" si="22"/>
        <v>1.3144813179309334</v>
      </c>
      <c r="AC370" s="13">
        <f t="shared" si="23"/>
        <v>-0.45391654251028785</v>
      </c>
      <c r="AD370" s="13"/>
      <c r="AE370" s="13"/>
      <c r="AF370" s="13"/>
    </row>
    <row r="371" spans="1:32">
      <c r="A371" s="1" t="s">
        <v>771</v>
      </c>
      <c r="B371">
        <v>1093.7402977883842</v>
      </c>
      <c r="C371">
        <v>246.68561041317585</v>
      </c>
      <c r="D371">
        <v>0</v>
      </c>
      <c r="E371">
        <v>80.640878333333333</v>
      </c>
      <c r="F371">
        <v>80.640878333333333</v>
      </c>
      <c r="G371">
        <v>0.42798353909465026</v>
      </c>
      <c r="H371">
        <v>17.626934647260068</v>
      </c>
      <c r="I371">
        <v>7.5634017760072128E-2</v>
      </c>
      <c r="J371">
        <v>4.4516979799929149E-2</v>
      </c>
      <c r="K371">
        <v>0</v>
      </c>
      <c r="L371">
        <f t="shared" si="20"/>
        <v>1.9065552494243982</v>
      </c>
      <c r="M371" t="s">
        <v>605</v>
      </c>
      <c r="N371">
        <v>334</v>
      </c>
      <c r="O371">
        <v>31</v>
      </c>
      <c r="P371">
        <v>1005</v>
      </c>
      <c r="Q371">
        <v>774.53285986889102</v>
      </c>
      <c r="R371">
        <v>977.56770639233002</v>
      </c>
      <c r="S371" t="s">
        <v>772</v>
      </c>
      <c r="T371">
        <v>0</v>
      </c>
      <c r="U371">
        <v>0</v>
      </c>
      <c r="V371">
        <v>0</v>
      </c>
      <c r="W371">
        <v>0</v>
      </c>
      <c r="X371" t="s">
        <v>56</v>
      </c>
      <c r="Y371">
        <v>10.263252258300779</v>
      </c>
      <c r="Z371">
        <v>11.477479934692379</v>
      </c>
      <c r="AA371">
        <f t="shared" si="21"/>
        <v>-0.34992310507554586</v>
      </c>
      <c r="AB371">
        <f t="shared" si="22"/>
        <v>1.0211576587962106</v>
      </c>
      <c r="AC371" s="13">
        <f t="shared" si="23"/>
        <v>0.29756270302035981</v>
      </c>
      <c r="AD371" s="13"/>
      <c r="AE371" s="13"/>
      <c r="AF371" s="13"/>
    </row>
    <row r="372" spans="1:32">
      <c r="A372" s="1" t="s">
        <v>773</v>
      </c>
      <c r="B372">
        <v>504.31855690231231</v>
      </c>
      <c r="C372">
        <v>204.86316112886072</v>
      </c>
      <c r="D372">
        <v>0</v>
      </c>
      <c r="E372">
        <v>82.623980000000003</v>
      </c>
      <c r="F372">
        <v>82.623980000000003</v>
      </c>
      <c r="G372">
        <v>0.44514106583072099</v>
      </c>
      <c r="H372">
        <v>8.1918379798982883</v>
      </c>
      <c r="I372">
        <v>6.9302000768344516E-2</v>
      </c>
      <c r="J372">
        <v>4.4835910394030801E-2</v>
      </c>
      <c r="K372">
        <v>0</v>
      </c>
      <c r="L372">
        <f t="shared" si="20"/>
        <v>1.9171061111247909</v>
      </c>
      <c r="M372" t="s">
        <v>605</v>
      </c>
      <c r="N372">
        <v>329</v>
      </c>
      <c r="O372">
        <v>25</v>
      </c>
      <c r="P372">
        <v>990</v>
      </c>
      <c r="Q372">
        <v>634.08726308914595</v>
      </c>
      <c r="R372">
        <v>800.30591798981004</v>
      </c>
      <c r="S372" t="s">
        <v>774</v>
      </c>
      <c r="T372">
        <v>0</v>
      </c>
      <c r="U372">
        <v>0</v>
      </c>
      <c r="V372">
        <v>0</v>
      </c>
      <c r="W372">
        <v>136.48992999999999</v>
      </c>
      <c r="X372">
        <v>5.8634795840968597</v>
      </c>
      <c r="AA372">
        <f t="shared" si="21"/>
        <v>-0.34979225691594801</v>
      </c>
      <c r="AB372">
        <f t="shared" si="22"/>
        <v>4.9678349905235168E-2</v>
      </c>
      <c r="AC372" s="13">
        <f t="shared" si="23"/>
        <v>0.16129740483273997</v>
      </c>
      <c r="AD372" s="13"/>
      <c r="AE372" s="13"/>
      <c r="AF372" s="13"/>
    </row>
    <row r="373" spans="1:32">
      <c r="A373" s="1" t="s">
        <v>775</v>
      </c>
      <c r="B373">
        <v>616.76472299028467</v>
      </c>
      <c r="C373">
        <v>44.954935228074753</v>
      </c>
      <c r="D373">
        <v>0</v>
      </c>
      <c r="E373">
        <v>83.653819999999996</v>
      </c>
      <c r="F373">
        <v>83.653819999999996</v>
      </c>
      <c r="G373">
        <v>0.43881856540084385</v>
      </c>
      <c r="H373">
        <v>18.314169128358195</v>
      </c>
      <c r="I373">
        <v>0.18247122986525965</v>
      </c>
      <c r="J373">
        <v>3.475430563712574E-2</v>
      </c>
      <c r="K373">
        <v>0</v>
      </c>
      <c r="L373">
        <f t="shared" si="20"/>
        <v>1.9224857775403927</v>
      </c>
      <c r="M373" t="s">
        <v>605</v>
      </c>
      <c r="N373">
        <v>326</v>
      </c>
      <c r="O373">
        <v>3</v>
      </c>
      <c r="P373">
        <v>981</v>
      </c>
      <c r="Q373">
        <v>76.788549291529606</v>
      </c>
      <c r="R373">
        <v>96.917780894178804</v>
      </c>
      <c r="S373" t="s">
        <v>776</v>
      </c>
      <c r="T373">
        <v>0</v>
      </c>
      <c r="U373">
        <v>0</v>
      </c>
      <c r="V373">
        <v>0</v>
      </c>
      <c r="W373">
        <v>42.653109999999998</v>
      </c>
      <c r="X373">
        <v>2.2722324560665998</v>
      </c>
      <c r="Y373">
        <v>13.586347579956049</v>
      </c>
      <c r="Z373">
        <v>11.74314975738525</v>
      </c>
      <c r="AA373">
        <f t="shared" si="21"/>
        <v>-0.34972430645685393</v>
      </c>
      <c r="AB373">
        <f t="shared" si="22"/>
        <v>1.0919183623990427</v>
      </c>
      <c r="AC373" s="13">
        <f t="shared" si="23"/>
        <v>-0.37941356907058177</v>
      </c>
      <c r="AD373" s="13"/>
      <c r="AE373" s="13"/>
      <c r="AF373" s="13"/>
    </row>
    <row r="374" spans="1:32">
      <c r="A374" s="1" t="s">
        <v>777</v>
      </c>
      <c r="B374">
        <v>1274.9754699464411</v>
      </c>
      <c r="C374">
        <v>100.13142458961867</v>
      </c>
      <c r="D374">
        <v>0</v>
      </c>
      <c r="E374">
        <v>83.87688133333333</v>
      </c>
      <c r="F374">
        <v>83.87688133333333</v>
      </c>
      <c r="G374">
        <v>0.47706422018348627</v>
      </c>
      <c r="H374">
        <v>19.260398766363519</v>
      </c>
      <c r="I374">
        <v>9.231008310299492</v>
      </c>
      <c r="J374">
        <v>4.6559166054262926</v>
      </c>
      <c r="K374">
        <v>0</v>
      </c>
      <c r="L374">
        <f t="shared" si="20"/>
        <v>1.9236422743814847</v>
      </c>
      <c r="M374" t="s">
        <v>605</v>
      </c>
      <c r="N374">
        <v>337</v>
      </c>
      <c r="O374">
        <v>2</v>
      </c>
      <c r="P374">
        <v>1014</v>
      </c>
      <c r="Q374">
        <v>49.526342442465797</v>
      </c>
      <c r="R374">
        <v>62.509101286778098</v>
      </c>
      <c r="S374" t="s">
        <v>778</v>
      </c>
      <c r="T374">
        <v>0</v>
      </c>
      <c r="U374">
        <v>0</v>
      </c>
      <c r="V374">
        <v>0</v>
      </c>
      <c r="W374">
        <v>90.993324000000001</v>
      </c>
      <c r="X374">
        <v>0.68696359841495702</v>
      </c>
      <c r="Y374">
        <v>10.79887676239014</v>
      </c>
      <c r="Z374">
        <v>11.54908561706543</v>
      </c>
      <c r="AA374">
        <f t="shared" si="21"/>
        <v>-0.34970958852008105</v>
      </c>
      <c r="AB374">
        <f t="shared" si="22"/>
        <v>1.1893463535675324</v>
      </c>
      <c r="AC374" s="13">
        <f t="shared" si="23"/>
        <v>-0.40586432887166085</v>
      </c>
      <c r="AD374" s="13"/>
      <c r="AE374" s="13"/>
      <c r="AF374" s="13"/>
    </row>
    <row r="375" spans="1:32">
      <c r="A375" s="1" t="s">
        <v>779</v>
      </c>
      <c r="B375">
        <v>1129.1472783127856</v>
      </c>
      <c r="C375">
        <v>102.70896798574988</v>
      </c>
      <c r="D375">
        <v>224.96593333333331</v>
      </c>
      <c r="E375">
        <v>311.92192466666671</v>
      </c>
      <c r="F375">
        <v>86.955991333333372</v>
      </c>
      <c r="G375">
        <v>0.39423076923076927</v>
      </c>
      <c r="H375">
        <v>18.46804173109658</v>
      </c>
      <c r="I375">
        <v>12.137633633819187</v>
      </c>
      <c r="J375">
        <v>3.040207001197949</v>
      </c>
      <c r="K375">
        <v>0</v>
      </c>
      <c r="L375">
        <f t="shared" si="20"/>
        <v>1.9392995105867346</v>
      </c>
      <c r="M375" t="s">
        <v>605</v>
      </c>
      <c r="N375">
        <v>322</v>
      </c>
      <c r="O375">
        <v>7</v>
      </c>
      <c r="P375">
        <v>969</v>
      </c>
      <c r="Q375">
        <v>181.39214584965001</v>
      </c>
      <c r="R375">
        <v>228.94200254569199</v>
      </c>
      <c r="S375" t="s">
        <v>780</v>
      </c>
      <c r="T375">
        <v>0</v>
      </c>
      <c r="U375">
        <v>0</v>
      </c>
      <c r="V375">
        <v>0</v>
      </c>
      <c r="W375">
        <v>618.18493999999998</v>
      </c>
      <c r="X375">
        <v>0.37034548681449903</v>
      </c>
      <c r="Y375">
        <v>10.10925960540771</v>
      </c>
      <c r="Z375">
        <v>11.78801250457764</v>
      </c>
      <c r="AA375">
        <f t="shared" si="21"/>
        <v>-0.34950642401093285</v>
      </c>
      <c r="AB375">
        <f t="shared" si="22"/>
        <v>1.1077617665564843</v>
      </c>
      <c r="AC375" s="13">
        <f t="shared" si="23"/>
        <v>-0.27792345045302586</v>
      </c>
      <c r="AD375" s="13"/>
      <c r="AE375" s="13"/>
      <c r="AF375" s="13"/>
    </row>
    <row r="376" spans="1:32">
      <c r="A376" s="1" t="s">
        <v>781</v>
      </c>
      <c r="B376">
        <v>1019.3304336170031</v>
      </c>
      <c r="C376">
        <v>331.15549769465491</v>
      </c>
      <c r="D376">
        <v>0</v>
      </c>
      <c r="E376">
        <v>86.990891333333323</v>
      </c>
      <c r="F376">
        <v>86.990891333333323</v>
      </c>
      <c r="G376">
        <v>0.48881789137380188</v>
      </c>
      <c r="H376">
        <v>22.11819918107021</v>
      </c>
      <c r="I376">
        <v>31.537716856773983</v>
      </c>
      <c r="J376">
        <v>16.182234673442743</v>
      </c>
      <c r="K376">
        <v>0</v>
      </c>
      <c r="L376">
        <f t="shared" si="20"/>
        <v>1.9394737807707059</v>
      </c>
      <c r="M376" t="s">
        <v>605</v>
      </c>
      <c r="N376">
        <v>323</v>
      </c>
      <c r="O376">
        <v>52</v>
      </c>
      <c r="P376">
        <v>972</v>
      </c>
      <c r="Q376">
        <v>1343.3256092110801</v>
      </c>
      <c r="R376">
        <v>1695.4629077413699</v>
      </c>
      <c r="S376" t="s">
        <v>782</v>
      </c>
      <c r="T376">
        <v>0</v>
      </c>
      <c r="U376">
        <v>0</v>
      </c>
      <c r="V376">
        <v>0</v>
      </c>
      <c r="W376">
        <v>90.993324000000001</v>
      </c>
      <c r="X376">
        <v>18.6328274779958</v>
      </c>
      <c r="Y376">
        <v>9.1802101135253906</v>
      </c>
      <c r="Z376">
        <v>12.63895893096924</v>
      </c>
      <c r="AA376">
        <f t="shared" si="21"/>
        <v>-0.34950412125417224</v>
      </c>
      <c r="AB376">
        <f t="shared" si="22"/>
        <v>1.4835981317640881</v>
      </c>
      <c r="AC376" s="13">
        <f t="shared" si="23"/>
        <v>0.84942559778679383</v>
      </c>
      <c r="AD376" s="13"/>
      <c r="AE376" s="13"/>
      <c r="AF376" s="13"/>
    </row>
    <row r="377" spans="1:32">
      <c r="A377" s="1" t="s">
        <v>783</v>
      </c>
      <c r="B377">
        <v>939.12545548259732</v>
      </c>
      <c r="C377">
        <v>167.3024709309291</v>
      </c>
      <c r="D377">
        <v>11.230058</v>
      </c>
      <c r="E377">
        <v>98.804106666666669</v>
      </c>
      <c r="F377">
        <v>87.57404866666667</v>
      </c>
      <c r="G377">
        <v>0.4096774193548387</v>
      </c>
      <c r="H377">
        <v>19.442958464577757</v>
      </c>
      <c r="I377">
        <v>16.710188591683067</v>
      </c>
      <c r="J377">
        <v>15.253245014703817</v>
      </c>
      <c r="K377">
        <v>0</v>
      </c>
      <c r="L377">
        <f t="shared" si="20"/>
        <v>1.9423754281928562</v>
      </c>
      <c r="M377" t="s">
        <v>605</v>
      </c>
      <c r="N377">
        <v>320</v>
      </c>
      <c r="O377">
        <v>10</v>
      </c>
      <c r="P377">
        <v>963</v>
      </c>
      <c r="Q377">
        <v>260.74616426095702</v>
      </c>
      <c r="R377">
        <v>329.097760668707</v>
      </c>
      <c r="S377" t="s">
        <v>784</v>
      </c>
      <c r="T377">
        <v>0</v>
      </c>
      <c r="U377">
        <v>0</v>
      </c>
      <c r="V377">
        <v>0</v>
      </c>
      <c r="W377">
        <v>74.216530000000006</v>
      </c>
      <c r="X377">
        <v>4.4342919383149102</v>
      </c>
      <c r="Y377">
        <v>12.003958702087401</v>
      </c>
      <c r="Z377">
        <v>11.138431549072269</v>
      </c>
      <c r="AA377">
        <f t="shared" si="21"/>
        <v>-0.34946564361830246</v>
      </c>
      <c r="AB377">
        <f t="shared" si="22"/>
        <v>1.2081435080329466</v>
      </c>
      <c r="AC377" s="13">
        <f t="shared" si="23"/>
        <v>-0.20093136790194016</v>
      </c>
      <c r="AD377" s="13"/>
      <c r="AE377" s="13"/>
      <c r="AF377" s="13"/>
    </row>
    <row r="378" spans="1:32">
      <c r="A378" s="1" t="s">
        <v>785</v>
      </c>
      <c r="B378">
        <v>310.55343373146707</v>
      </c>
      <c r="C378">
        <v>112.04532278969079</v>
      </c>
      <c r="D378">
        <v>8.0002206666666655</v>
      </c>
      <c r="E378">
        <v>96.546900000000008</v>
      </c>
      <c r="F378">
        <v>88.54667933333333</v>
      </c>
      <c r="G378">
        <v>0.41719077568134172</v>
      </c>
      <c r="H378">
        <v>1.5307202500362349</v>
      </c>
      <c r="I378">
        <v>0.17122426346226116</v>
      </c>
      <c r="J378">
        <v>2.1641419759312188E-2</v>
      </c>
      <c r="K378">
        <v>1.4548088873113901E-49</v>
      </c>
      <c r="L378">
        <f t="shared" si="20"/>
        <v>1.9471722789732888</v>
      </c>
      <c r="M378" t="s">
        <v>605</v>
      </c>
      <c r="N378">
        <v>328</v>
      </c>
      <c r="O378">
        <v>5</v>
      </c>
      <c r="P378">
        <v>987</v>
      </c>
      <c r="Q378">
        <v>127.202915999646</v>
      </c>
      <c r="R378">
        <v>160.54769175479399</v>
      </c>
      <c r="S378" t="s">
        <v>786</v>
      </c>
      <c r="T378">
        <v>0</v>
      </c>
      <c r="U378">
        <v>0</v>
      </c>
      <c r="V378">
        <v>0</v>
      </c>
      <c r="W378">
        <v>136.49019000000001</v>
      </c>
      <c r="X378">
        <v>1.1762581014415301</v>
      </c>
      <c r="Y378">
        <v>9.6050558090209961</v>
      </c>
      <c r="Z378">
        <v>12.432302474975589</v>
      </c>
      <c r="AA378">
        <f t="shared" si="21"/>
        <v>-0.3494014679207873</v>
      </c>
      <c r="AB378">
        <f t="shared" si="22"/>
        <v>-0.63617981104323718</v>
      </c>
      <c r="AC378" s="13">
        <f t="shared" si="23"/>
        <v>-0.33049976280013671</v>
      </c>
      <c r="AD378" s="13"/>
      <c r="AE378" s="13"/>
      <c r="AF378" s="13"/>
    </row>
    <row r="379" spans="1:32">
      <c r="A379" s="1" t="s">
        <v>787</v>
      </c>
      <c r="B379">
        <v>943.28640399816697</v>
      </c>
      <c r="C379">
        <v>57.764631903348075</v>
      </c>
      <c r="D379">
        <v>9.8354776666666677</v>
      </c>
      <c r="E379">
        <v>102.70148499999999</v>
      </c>
      <c r="F379">
        <v>92.866007333333343</v>
      </c>
      <c r="G379">
        <v>0.50372736954206609</v>
      </c>
      <c r="H379">
        <v>18.41643098012872</v>
      </c>
      <c r="I379">
        <v>21.078673838604718</v>
      </c>
      <c r="J379">
        <v>4.8289022612358075</v>
      </c>
      <c r="K379">
        <v>0</v>
      </c>
      <c r="L379">
        <f t="shared" si="20"/>
        <v>1.9678567739600457</v>
      </c>
      <c r="M379" t="s">
        <v>605</v>
      </c>
      <c r="N379">
        <v>323</v>
      </c>
      <c r="O379">
        <v>6</v>
      </c>
      <c r="P379">
        <v>972</v>
      </c>
      <c r="Q379">
        <v>154.99910875512401</v>
      </c>
      <c r="R379">
        <v>195.63033550861999</v>
      </c>
      <c r="S379" t="s">
        <v>788</v>
      </c>
      <c r="T379">
        <v>0</v>
      </c>
      <c r="U379">
        <v>0</v>
      </c>
      <c r="V379">
        <v>0</v>
      </c>
      <c r="W379">
        <v>75.069595000000007</v>
      </c>
      <c r="X379">
        <v>2.6059862919018002</v>
      </c>
      <c r="Y379">
        <v>10.834091186523439</v>
      </c>
      <c r="Z379">
        <v>11.46874904632568</v>
      </c>
      <c r="AA379">
        <f t="shared" si="21"/>
        <v>-0.34911647188200656</v>
      </c>
      <c r="AB379">
        <f t="shared" si="22"/>
        <v>1.1024476952279898</v>
      </c>
      <c r="AC379" s="13">
        <f t="shared" si="23"/>
        <v>-0.3035309109375483</v>
      </c>
      <c r="AD379" s="13"/>
      <c r="AE379" s="13"/>
      <c r="AF379" s="13"/>
    </row>
    <row r="380" spans="1:32">
      <c r="A380" s="1" t="s">
        <v>789</v>
      </c>
      <c r="B380">
        <v>831.49146144743452</v>
      </c>
      <c r="C380">
        <v>202.91476742248392</v>
      </c>
      <c r="D380">
        <v>129.68697366666666</v>
      </c>
      <c r="E380">
        <v>224.00229000000002</v>
      </c>
      <c r="F380">
        <v>94.315316333333342</v>
      </c>
      <c r="G380">
        <v>0.40514469453376206</v>
      </c>
      <c r="H380">
        <v>21.129940235139685</v>
      </c>
      <c r="I380">
        <v>0.16033594972312848</v>
      </c>
      <c r="J380">
        <v>5.1512054088766135E-2</v>
      </c>
      <c r="K380">
        <v>0</v>
      </c>
      <c r="L380">
        <f t="shared" si="20"/>
        <v>1.9745822257056322</v>
      </c>
      <c r="M380" t="s">
        <v>605</v>
      </c>
      <c r="N380">
        <v>321</v>
      </c>
      <c r="O380">
        <v>29</v>
      </c>
      <c r="P380">
        <v>966</v>
      </c>
      <c r="Q380">
        <v>753.81554133703401</v>
      </c>
      <c r="R380">
        <v>951.41958200776196</v>
      </c>
      <c r="S380" t="s">
        <v>790</v>
      </c>
      <c r="T380">
        <v>0</v>
      </c>
      <c r="U380">
        <v>0</v>
      </c>
      <c r="V380">
        <v>0</v>
      </c>
      <c r="W380">
        <v>119.429</v>
      </c>
      <c r="X380">
        <v>7.9664033191918397</v>
      </c>
      <c r="Y380">
        <v>11.917807579040529</v>
      </c>
      <c r="Z380">
        <v>11.260115623474119</v>
      </c>
      <c r="AA380">
        <f t="shared" si="21"/>
        <v>-0.34902084420011498</v>
      </c>
      <c r="AB380">
        <f t="shared" si="22"/>
        <v>1.3818426170464668</v>
      </c>
      <c r="AC380" s="13">
        <f t="shared" si="23"/>
        <v>0.27746202594595731</v>
      </c>
      <c r="AD380" s="13"/>
      <c r="AE380" s="13"/>
      <c r="AF380" s="13"/>
    </row>
    <row r="381" spans="1:32">
      <c r="A381" s="1" t="s">
        <v>791</v>
      </c>
      <c r="B381">
        <v>744.71245901391228</v>
      </c>
      <c r="C381">
        <v>137.12488315100208</v>
      </c>
      <c r="D381">
        <v>41.173977333333333</v>
      </c>
      <c r="E381">
        <v>135.52729166666666</v>
      </c>
      <c r="F381">
        <v>94.35331433333333</v>
      </c>
      <c r="G381">
        <v>0.50158730158730158</v>
      </c>
      <c r="H381">
        <v>21.064694298518553</v>
      </c>
      <c r="I381">
        <v>10.418379592382085</v>
      </c>
      <c r="J381">
        <v>2.5774937852449451</v>
      </c>
      <c r="K381">
        <v>0</v>
      </c>
      <c r="L381">
        <f t="shared" si="20"/>
        <v>1.9747571601596341</v>
      </c>
      <c r="M381" t="s">
        <v>605</v>
      </c>
      <c r="N381">
        <v>325</v>
      </c>
      <c r="O381">
        <v>26</v>
      </c>
      <c r="P381">
        <v>978</v>
      </c>
      <c r="Q381">
        <v>667.54217390243798</v>
      </c>
      <c r="R381">
        <v>842.53064740522302</v>
      </c>
      <c r="S381" t="s">
        <v>792</v>
      </c>
      <c r="T381">
        <v>1</v>
      </c>
      <c r="U381">
        <v>122.44398187829</v>
      </c>
      <c r="V381">
        <v>0.18755121455011201</v>
      </c>
      <c r="W381">
        <v>27.866705</v>
      </c>
      <c r="X381">
        <v>30.234311785524099</v>
      </c>
      <c r="Y381">
        <v>11.05397319793701</v>
      </c>
      <c r="Z381">
        <v>11.58897590637207</v>
      </c>
      <c r="AA381">
        <f t="shared" si="21"/>
        <v>-0.34901833703245333</v>
      </c>
      <c r="AB381">
        <f t="shared" si="22"/>
        <v>1.3751246066591536</v>
      </c>
      <c r="AC381" s="13">
        <f t="shared" si="23"/>
        <v>0.19375654561280126</v>
      </c>
      <c r="AD381" s="13"/>
      <c r="AE381" s="13"/>
      <c r="AF381" s="13"/>
    </row>
    <row r="382" spans="1:32">
      <c r="A382" s="1" t="s">
        <v>793</v>
      </c>
      <c r="B382">
        <v>930.53448546504296</v>
      </c>
      <c r="C382">
        <v>337.30562188214566</v>
      </c>
      <c r="D382">
        <v>24.955590000000001</v>
      </c>
      <c r="E382">
        <v>119.69336666666668</v>
      </c>
      <c r="F382">
        <v>94.737776666666676</v>
      </c>
      <c r="G382">
        <v>0.44129979035639411</v>
      </c>
      <c r="H382">
        <v>17.773838907882553</v>
      </c>
      <c r="I382">
        <v>3.0975529135360422</v>
      </c>
      <c r="J382">
        <v>0.40397877337925309</v>
      </c>
      <c r="K382">
        <v>0</v>
      </c>
      <c r="L382">
        <f t="shared" si="20"/>
        <v>1.9765231883639847</v>
      </c>
      <c r="M382" t="s">
        <v>605</v>
      </c>
      <c r="N382">
        <v>328</v>
      </c>
      <c r="O382">
        <v>1</v>
      </c>
      <c r="P382">
        <v>987</v>
      </c>
      <c r="Q382">
        <v>25.4405831999292</v>
      </c>
      <c r="R382">
        <v>32.1095383509589</v>
      </c>
      <c r="S382" t="s">
        <v>794</v>
      </c>
      <c r="T382">
        <v>0</v>
      </c>
      <c r="U382">
        <v>0</v>
      </c>
      <c r="V382">
        <v>0</v>
      </c>
      <c r="W382">
        <v>272.97897</v>
      </c>
      <c r="X382">
        <v>0.117626417708876</v>
      </c>
      <c r="Y382">
        <v>9.7830314636230469</v>
      </c>
      <c r="Z382">
        <v>12.645101547241209</v>
      </c>
      <c r="AA382">
        <f t="shared" si="21"/>
        <v>-0.34899296960445059</v>
      </c>
      <c r="AB382">
        <f t="shared" si="22"/>
        <v>1.036283571610263</v>
      </c>
      <c r="AC382" s="13">
        <f t="shared" si="23"/>
        <v>-0.4292331865682576</v>
      </c>
      <c r="AD382" s="13"/>
      <c r="AE382" s="13"/>
      <c r="AF382" s="13"/>
    </row>
    <row r="383" spans="1:32">
      <c r="A383" s="1" t="s">
        <v>795</v>
      </c>
      <c r="B383">
        <v>1000.7070295221574</v>
      </c>
      <c r="C383">
        <v>96.708947605353714</v>
      </c>
      <c r="D383">
        <v>124.44423033333334</v>
      </c>
      <c r="E383">
        <v>220.22412</v>
      </c>
      <c r="F383">
        <v>95.779889666666648</v>
      </c>
      <c r="G383">
        <v>0.44207317073170732</v>
      </c>
      <c r="H383">
        <v>18.134189859416523</v>
      </c>
      <c r="I383">
        <v>14.96308840887626</v>
      </c>
      <c r="J383">
        <v>7.3211059996026817</v>
      </c>
      <c r="K383">
        <v>0</v>
      </c>
      <c r="L383">
        <f t="shared" si="20"/>
        <v>1.9812743324227566</v>
      </c>
      <c r="M383" t="s">
        <v>605</v>
      </c>
      <c r="N383">
        <v>338</v>
      </c>
      <c r="O383">
        <v>1</v>
      </c>
      <c r="P383">
        <v>1017</v>
      </c>
      <c r="Q383">
        <v>24.690123518515399</v>
      </c>
      <c r="R383">
        <v>31.1623543288067</v>
      </c>
      <c r="S383" t="s">
        <v>796</v>
      </c>
      <c r="T383">
        <v>0</v>
      </c>
      <c r="U383">
        <v>0</v>
      </c>
      <c r="V383">
        <v>0</v>
      </c>
      <c r="W383">
        <v>318.47692999999998</v>
      </c>
      <c r="X383">
        <v>9.7848074360697895E-2</v>
      </c>
      <c r="AA383">
        <f t="shared" si="21"/>
        <v>-0.34892420935355928</v>
      </c>
      <c r="AB383">
        <f t="shared" si="22"/>
        <v>1.0733869003514951</v>
      </c>
      <c r="AC383" s="13">
        <f t="shared" si="23"/>
        <v>-0.42996130916241776</v>
      </c>
      <c r="AD383" s="13"/>
      <c r="AE383" s="13"/>
      <c r="AF383" s="13"/>
    </row>
    <row r="384" spans="1:32">
      <c r="A384" s="1" t="s">
        <v>797</v>
      </c>
      <c r="B384">
        <v>1036.5820418998708</v>
      </c>
      <c r="C384">
        <v>152.59556675086139</v>
      </c>
      <c r="D384">
        <v>54.195490333333339</v>
      </c>
      <c r="E384">
        <v>156.21841666666668</v>
      </c>
      <c r="F384">
        <v>102.02292633333336</v>
      </c>
      <c r="G384">
        <v>0.50424628450106157</v>
      </c>
      <c r="H384">
        <v>18.422841343625468</v>
      </c>
      <c r="I384">
        <v>3.2574681284200611</v>
      </c>
      <c r="J384">
        <v>1.130102516311271</v>
      </c>
      <c r="K384">
        <v>0</v>
      </c>
      <c r="L384">
        <f t="shared" si="20"/>
        <v>2.0086977762838973</v>
      </c>
      <c r="M384" t="s">
        <v>605</v>
      </c>
      <c r="N384">
        <v>324</v>
      </c>
      <c r="O384">
        <v>0</v>
      </c>
      <c r="P384">
        <v>975</v>
      </c>
      <c r="Q384">
        <v>0</v>
      </c>
      <c r="R384">
        <v>0</v>
      </c>
      <c r="S384" t="s">
        <v>798</v>
      </c>
      <c r="T384">
        <v>0</v>
      </c>
      <c r="U384">
        <v>0</v>
      </c>
      <c r="W384">
        <v>346.34075999999999</v>
      </c>
      <c r="X384">
        <v>0</v>
      </c>
      <c r="Y384">
        <v>9.3390312194824219</v>
      </c>
      <c r="Z384">
        <v>12.86795139312744</v>
      </c>
      <c r="AA384">
        <f t="shared" si="21"/>
        <v>-0.34851228399851258</v>
      </c>
      <c r="AB384">
        <f t="shared" si="22"/>
        <v>1.1031077346233573</v>
      </c>
      <c r="AC384" s="13">
        <f t="shared" si="23"/>
        <v>-0.45391654251028785</v>
      </c>
      <c r="AD384" s="13"/>
      <c r="AE384" s="13"/>
      <c r="AF384" s="13"/>
    </row>
    <row r="385" spans="1:32">
      <c r="A385" s="1" t="s">
        <v>799</v>
      </c>
      <c r="B385">
        <v>745.93923209958132</v>
      </c>
      <c r="C385">
        <v>245.7915542970533</v>
      </c>
      <c r="D385">
        <v>747.52442666666673</v>
      </c>
      <c r="E385">
        <v>850.63507333333337</v>
      </c>
      <c r="F385">
        <v>103.11064666666675</v>
      </c>
      <c r="G385">
        <v>0.45405982905982906</v>
      </c>
      <c r="H385">
        <v>19.616446736146955</v>
      </c>
      <c r="I385">
        <v>8.5131173504176594E-2</v>
      </c>
      <c r="J385">
        <v>5.2206677247063966E-2</v>
      </c>
      <c r="K385">
        <v>0</v>
      </c>
      <c r="L385">
        <f t="shared" si="20"/>
        <v>2.0133035105780044</v>
      </c>
      <c r="M385" t="s">
        <v>605</v>
      </c>
      <c r="N385">
        <v>322</v>
      </c>
      <c r="O385">
        <v>0</v>
      </c>
      <c r="P385">
        <v>969</v>
      </c>
      <c r="Q385">
        <v>0</v>
      </c>
      <c r="R385">
        <v>0</v>
      </c>
      <c r="S385" t="s">
        <v>800</v>
      </c>
      <c r="T385">
        <v>0</v>
      </c>
      <c r="U385">
        <v>0</v>
      </c>
      <c r="W385">
        <v>1765.8296</v>
      </c>
      <c r="X385">
        <v>0</v>
      </c>
      <c r="Y385">
        <v>10.33360004425049</v>
      </c>
      <c r="Z385">
        <v>11.90387535095215</v>
      </c>
      <c r="AA385">
        <f t="shared" si="21"/>
        <v>-0.34844051450420666</v>
      </c>
      <c r="AB385">
        <f t="shared" si="22"/>
        <v>1.226006628264428</v>
      </c>
      <c r="AC385" s="13">
        <f t="shared" si="23"/>
        <v>-0.45391654251028785</v>
      </c>
      <c r="AD385" s="13"/>
      <c r="AE385" s="13"/>
      <c r="AF385" s="13"/>
    </row>
    <row r="386" spans="1:32">
      <c r="A386" s="1" t="s">
        <v>801</v>
      </c>
      <c r="B386">
        <v>1566.2114167529082</v>
      </c>
      <c r="C386">
        <v>42.291038290782694</v>
      </c>
      <c r="D386">
        <v>2.9947200666666665</v>
      </c>
      <c r="E386">
        <v>106.48771500000002</v>
      </c>
      <c r="F386">
        <v>103.49299493333335</v>
      </c>
      <c r="G386">
        <v>0.50257997936016507</v>
      </c>
      <c r="H386">
        <v>20.418474538190932</v>
      </c>
      <c r="I386">
        <v>0.55455759645082103</v>
      </c>
      <c r="J386">
        <v>0.19502870962787655</v>
      </c>
      <c r="K386">
        <v>0</v>
      </c>
      <c r="L386">
        <f t="shared" ref="L386:L449" si="24">LOG10(F386)</f>
        <v>2.0149109549643742</v>
      </c>
      <c r="M386" t="s">
        <v>605</v>
      </c>
      <c r="N386">
        <v>333</v>
      </c>
      <c r="O386">
        <v>0</v>
      </c>
      <c r="P386">
        <v>1002</v>
      </c>
      <c r="Q386">
        <v>0</v>
      </c>
      <c r="R386">
        <v>0</v>
      </c>
      <c r="S386" t="s">
        <v>802</v>
      </c>
      <c r="T386">
        <v>0</v>
      </c>
      <c r="U386">
        <v>0</v>
      </c>
      <c r="W386">
        <v>176.29987</v>
      </c>
      <c r="X386">
        <v>0</v>
      </c>
      <c r="Y386">
        <v>10.37171745300293</v>
      </c>
      <c r="Z386">
        <v>11.52083778381348</v>
      </c>
      <c r="AA386">
        <f t="shared" ref="AA386:AA449" si="25">(F386-AVERAGE(F:F))/_xlfn.STDEV.P(F:F)</f>
        <v>-0.34841528656563964</v>
      </c>
      <c r="AB386">
        <f t="shared" ref="AB386:AB449" si="26">(H386-AVERAGE(H:H))/_xlfn.STDEV.P(H:H)</f>
        <v>1.3085869602218425</v>
      </c>
      <c r="AC386" s="13">
        <f t="shared" ref="AC386:AC449" si="27">(Q386-AVERAGE(Q:Q))/_xlfn.STDEV.P(Q:Q)</f>
        <v>-0.45391654251028785</v>
      </c>
      <c r="AD386" s="13"/>
      <c r="AE386" s="13"/>
      <c r="AF386" s="13"/>
    </row>
    <row r="387" spans="1:32">
      <c r="A387" s="1" t="s">
        <v>803</v>
      </c>
      <c r="B387">
        <v>663.41526281248446</v>
      </c>
      <c r="C387">
        <v>244.59813007027458</v>
      </c>
      <c r="D387">
        <v>820.7464573333333</v>
      </c>
      <c r="E387">
        <v>926.65831000000014</v>
      </c>
      <c r="F387">
        <v>105.91185266666669</v>
      </c>
      <c r="G387">
        <v>0.52411575562700963</v>
      </c>
      <c r="H387">
        <v>8.4720250786490165</v>
      </c>
      <c r="I387">
        <v>7.2774202886702097E-2</v>
      </c>
      <c r="J387">
        <v>2.9979406184792463E-2</v>
      </c>
      <c r="K387">
        <v>0</v>
      </c>
      <c r="L387">
        <f t="shared" si="24"/>
        <v>2.0249445650148097</v>
      </c>
      <c r="M387" t="s">
        <v>605</v>
      </c>
      <c r="N387">
        <v>321</v>
      </c>
      <c r="O387">
        <v>5</v>
      </c>
      <c r="P387">
        <v>966</v>
      </c>
      <c r="Q387">
        <v>129.96819678224699</v>
      </c>
      <c r="R387">
        <v>164.037858966855</v>
      </c>
      <c r="S387" t="s">
        <v>804</v>
      </c>
      <c r="T387">
        <v>0</v>
      </c>
      <c r="U387">
        <v>0</v>
      </c>
      <c r="V387">
        <v>0</v>
      </c>
      <c r="W387">
        <v>1387.6415999999999</v>
      </c>
      <c r="X387">
        <v>0.118213419781343</v>
      </c>
      <c r="Y387">
        <v>13.50340461730957</v>
      </c>
      <c r="Z387">
        <v>11.62310886383057</v>
      </c>
      <c r="AA387">
        <f t="shared" si="25"/>
        <v>-0.34825568653703004</v>
      </c>
      <c r="AB387">
        <f t="shared" si="26"/>
        <v>7.8527653590285351E-2</v>
      </c>
      <c r="AC387" s="13">
        <f t="shared" si="27"/>
        <v>-0.32781678932817687</v>
      </c>
      <c r="AD387" s="13"/>
      <c r="AE387" s="13"/>
      <c r="AF387" s="13"/>
    </row>
    <row r="388" spans="1:32">
      <c r="A388" s="1" t="s">
        <v>805</v>
      </c>
      <c r="B388">
        <v>970.38109834532531</v>
      </c>
      <c r="C388">
        <v>106.54558256553464</v>
      </c>
      <c r="D388">
        <v>17.640108666666666</v>
      </c>
      <c r="E388">
        <v>124.630247</v>
      </c>
      <c r="F388">
        <v>106.99013833333333</v>
      </c>
      <c r="G388">
        <v>0.49122807017543857</v>
      </c>
      <c r="H388">
        <v>20.286407853918249</v>
      </c>
      <c r="I388">
        <v>7.5022943317178667E-2</v>
      </c>
      <c r="J388">
        <v>3.6502327748842323E-2</v>
      </c>
      <c r="K388">
        <v>0</v>
      </c>
      <c r="L388">
        <f t="shared" si="24"/>
        <v>2.0293437490422814</v>
      </c>
      <c r="M388" t="s">
        <v>605</v>
      </c>
      <c r="N388">
        <v>333</v>
      </c>
      <c r="O388">
        <v>7</v>
      </c>
      <c r="P388">
        <v>1002</v>
      </c>
      <c r="Q388">
        <v>175.41815302226601</v>
      </c>
      <c r="R388">
        <v>221.40199647382701</v>
      </c>
      <c r="S388" t="s">
        <v>806</v>
      </c>
      <c r="T388">
        <v>0</v>
      </c>
      <c r="U388">
        <v>0</v>
      </c>
      <c r="V388">
        <v>0</v>
      </c>
      <c r="W388">
        <v>73.932013999999995</v>
      </c>
      <c r="X388">
        <v>2.9946701637781401</v>
      </c>
      <c r="Y388">
        <v>13.03804397583008</v>
      </c>
      <c r="Z388">
        <v>11.41258430480957</v>
      </c>
      <c r="AA388">
        <f t="shared" si="25"/>
        <v>-0.34818453955683454</v>
      </c>
      <c r="AB388">
        <f t="shared" si="26"/>
        <v>1.2949887899340309</v>
      </c>
      <c r="AC388" s="13">
        <f t="shared" si="27"/>
        <v>-0.28371963013155871</v>
      </c>
      <c r="AD388" s="13"/>
      <c r="AE388" s="13"/>
      <c r="AF388" s="13"/>
    </row>
    <row r="389" spans="1:32">
      <c r="A389" s="1" t="s">
        <v>807</v>
      </c>
      <c r="B389">
        <v>861.96639432242728</v>
      </c>
      <c r="C389">
        <v>126.4142153830676</v>
      </c>
      <c r="D389">
        <v>145.19612866666668</v>
      </c>
      <c r="E389">
        <v>254.17465833333335</v>
      </c>
      <c r="F389">
        <v>108.97852966666666</v>
      </c>
      <c r="G389">
        <v>0.45463812436289502</v>
      </c>
      <c r="H389">
        <v>23.421327639993347</v>
      </c>
      <c r="I389">
        <v>0.84991339196495375</v>
      </c>
      <c r="J389">
        <v>0.29008474323957351</v>
      </c>
      <c r="K389">
        <v>0</v>
      </c>
      <c r="L389">
        <f t="shared" si="24"/>
        <v>2.0373409441263495</v>
      </c>
      <c r="M389" t="s">
        <v>605</v>
      </c>
      <c r="N389">
        <v>337</v>
      </c>
      <c r="O389">
        <v>79</v>
      </c>
      <c r="P389">
        <v>1014</v>
      </c>
      <c r="Q389">
        <v>1956.2905264773999</v>
      </c>
      <c r="R389">
        <v>2469.1095008277298</v>
      </c>
      <c r="S389" t="s">
        <v>808</v>
      </c>
      <c r="T389">
        <v>0</v>
      </c>
      <c r="U389">
        <v>0</v>
      </c>
      <c r="V389">
        <v>0</v>
      </c>
      <c r="W389">
        <v>463.50412</v>
      </c>
      <c r="X389">
        <v>5.32704973761125</v>
      </c>
      <c r="Y389">
        <v>12.45272064208984</v>
      </c>
      <c r="Z389">
        <v>13.615737915039061</v>
      </c>
      <c r="AA389">
        <f t="shared" si="25"/>
        <v>-0.34805334237673013</v>
      </c>
      <c r="AB389">
        <f t="shared" si="26"/>
        <v>1.6177740050278007</v>
      </c>
      <c r="AC389" s="13">
        <f t="shared" si="27"/>
        <v>1.444145896215479</v>
      </c>
      <c r="AD389" s="13"/>
      <c r="AE389" s="13"/>
      <c r="AF389" s="13"/>
    </row>
    <row r="390" spans="1:32">
      <c r="A390" s="1" t="s">
        <v>809</v>
      </c>
      <c r="B390">
        <v>1217.4924552674793</v>
      </c>
      <c r="C390">
        <v>6.1536146809279302</v>
      </c>
      <c r="D390">
        <v>203.87094999999999</v>
      </c>
      <c r="E390">
        <v>315.01020999999997</v>
      </c>
      <c r="F390">
        <v>111.13925999999999</v>
      </c>
      <c r="G390">
        <v>0.43386243386243384</v>
      </c>
      <c r="H390">
        <v>21.941616367583379</v>
      </c>
      <c r="I390">
        <v>8.1875667520009784E-2</v>
      </c>
      <c r="J390">
        <v>5.7788477845440854E-2</v>
      </c>
      <c r="K390">
        <v>0</v>
      </c>
      <c r="L390">
        <f t="shared" si="24"/>
        <v>2.0458675007903131</v>
      </c>
      <c r="M390" t="s">
        <v>605</v>
      </c>
      <c r="N390">
        <v>325</v>
      </c>
      <c r="O390">
        <v>0</v>
      </c>
      <c r="P390">
        <v>978</v>
      </c>
      <c r="Q390">
        <v>0</v>
      </c>
      <c r="R390">
        <v>0</v>
      </c>
      <c r="S390" t="s">
        <v>810</v>
      </c>
      <c r="T390">
        <v>0</v>
      </c>
      <c r="U390">
        <v>0</v>
      </c>
      <c r="W390">
        <v>305.96496999999999</v>
      </c>
      <c r="X390">
        <v>0</v>
      </c>
      <c r="AA390">
        <f t="shared" si="25"/>
        <v>-0.34791077399899328</v>
      </c>
      <c r="AB390">
        <f t="shared" si="26"/>
        <v>1.4654163838015439</v>
      </c>
      <c r="AC390" s="13">
        <f t="shared" si="27"/>
        <v>-0.45391654251028785</v>
      </c>
      <c r="AD390" s="13"/>
      <c r="AE390" s="13"/>
      <c r="AF390" s="13"/>
    </row>
    <row r="391" spans="1:32">
      <c r="A391" s="1" t="s">
        <v>811</v>
      </c>
      <c r="B391">
        <v>1076.5292861515338</v>
      </c>
      <c r="C391">
        <v>210.32813011655145</v>
      </c>
      <c r="D391">
        <v>55.326000999999998</v>
      </c>
      <c r="E391">
        <v>166.86945666666668</v>
      </c>
      <c r="F391">
        <v>111.5434556666667</v>
      </c>
      <c r="G391">
        <v>0.50955414012738853</v>
      </c>
      <c r="H391">
        <v>20.285960370143261</v>
      </c>
      <c r="I391">
        <v>8.3531228189641482E-2</v>
      </c>
      <c r="J391">
        <v>4.8155451340867267E-2</v>
      </c>
      <c r="K391">
        <v>0</v>
      </c>
      <c r="L391">
        <f t="shared" si="24"/>
        <v>2.0474440950032831</v>
      </c>
      <c r="M391" t="s">
        <v>605</v>
      </c>
      <c r="N391">
        <v>324</v>
      </c>
      <c r="O391">
        <v>63</v>
      </c>
      <c r="P391">
        <v>975</v>
      </c>
      <c r="Q391">
        <v>1622.48297841518</v>
      </c>
      <c r="R391">
        <v>2047.7981581548499</v>
      </c>
      <c r="S391" t="s">
        <v>812</v>
      </c>
      <c r="T391">
        <v>0</v>
      </c>
      <c r="U391">
        <v>0</v>
      </c>
      <c r="V391">
        <v>0</v>
      </c>
      <c r="W391">
        <v>261.60547000000003</v>
      </c>
      <c r="X391">
        <v>7.8278109328327501</v>
      </c>
      <c r="Y391">
        <v>12.03799438476562</v>
      </c>
      <c r="Z391">
        <v>12.41821193695068</v>
      </c>
      <c r="AA391">
        <f t="shared" si="25"/>
        <v>-0.34788410453469409</v>
      </c>
      <c r="AB391">
        <f t="shared" si="26"/>
        <v>1.2949427150241715</v>
      </c>
      <c r="AC391" s="13">
        <f t="shared" si="27"/>
        <v>1.1202739762911327</v>
      </c>
      <c r="AD391" s="13"/>
      <c r="AE391" s="13"/>
      <c r="AF391" s="13"/>
    </row>
    <row r="392" spans="1:32">
      <c r="A392" s="1" t="s">
        <v>813</v>
      </c>
      <c r="B392">
        <v>1104.0926947305586</v>
      </c>
      <c r="C392">
        <v>75.083947510339044</v>
      </c>
      <c r="D392">
        <v>0</v>
      </c>
      <c r="E392">
        <v>114.731938</v>
      </c>
      <c r="F392">
        <v>114.731938</v>
      </c>
      <c r="G392">
        <v>0.49371069182389937</v>
      </c>
      <c r="H392">
        <v>22.7977076722395</v>
      </c>
      <c r="I392">
        <v>7.0171571490034793E-2</v>
      </c>
      <c r="J392">
        <v>4.7721933379773325E-2</v>
      </c>
      <c r="K392">
        <v>0</v>
      </c>
      <c r="L392">
        <f t="shared" si="24"/>
        <v>2.0596843295526579</v>
      </c>
      <c r="M392" t="s">
        <v>605</v>
      </c>
      <c r="N392">
        <v>328</v>
      </c>
      <c r="O392">
        <v>17</v>
      </c>
      <c r="P392">
        <v>987</v>
      </c>
      <c r="Q392">
        <v>432.489914398797</v>
      </c>
      <c r="R392">
        <v>545.86215196630201</v>
      </c>
      <c r="S392" t="s">
        <v>814</v>
      </c>
      <c r="T392">
        <v>0</v>
      </c>
      <c r="U392">
        <v>0</v>
      </c>
      <c r="V392">
        <v>0</v>
      </c>
      <c r="W392">
        <v>90.993324000000001</v>
      </c>
      <c r="X392">
        <v>5.9989252834230102</v>
      </c>
      <c r="Y392">
        <v>13.246439933776861</v>
      </c>
      <c r="Z392">
        <v>11.40574932098389</v>
      </c>
      <c r="AA392">
        <f t="shared" si="25"/>
        <v>-0.3476737234673794</v>
      </c>
      <c r="AB392">
        <f t="shared" si="26"/>
        <v>1.5535633332516605</v>
      </c>
      <c r="AC392" s="13">
        <f t="shared" si="27"/>
        <v>-3.4299491495773243E-2</v>
      </c>
      <c r="AD392" s="13"/>
      <c r="AE392" s="13"/>
      <c r="AF392" s="13"/>
    </row>
    <row r="393" spans="1:32">
      <c r="A393" s="1" t="s">
        <v>815</v>
      </c>
      <c r="B393">
        <v>989.63454293882342</v>
      </c>
      <c r="C393">
        <v>241.94065356332115</v>
      </c>
      <c r="D393">
        <v>0</v>
      </c>
      <c r="E393">
        <v>120.49101666666668</v>
      </c>
      <c r="F393">
        <v>120.49101666666668</v>
      </c>
      <c r="G393">
        <v>0.46006389776357826</v>
      </c>
      <c r="H393">
        <v>19.338640830669444</v>
      </c>
      <c r="I393">
        <v>0.1977491466705483</v>
      </c>
      <c r="J393">
        <v>2.6787009878482815E-2</v>
      </c>
      <c r="K393">
        <v>0</v>
      </c>
      <c r="L393">
        <f t="shared" si="24"/>
        <v>2.0809546688401066</v>
      </c>
      <c r="M393" t="s">
        <v>605</v>
      </c>
      <c r="N393">
        <v>323</v>
      </c>
      <c r="O393">
        <v>10</v>
      </c>
      <c r="P393">
        <v>972</v>
      </c>
      <c r="Q393">
        <v>258.331847925207</v>
      </c>
      <c r="R393">
        <v>326.05055918103398</v>
      </c>
      <c r="S393" t="s">
        <v>816</v>
      </c>
      <c r="T393">
        <v>0</v>
      </c>
      <c r="U393">
        <v>0</v>
      </c>
      <c r="V393">
        <v>0</v>
      </c>
      <c r="W393">
        <v>130.80309</v>
      </c>
      <c r="X393">
        <v>2.4926823913795402</v>
      </c>
      <c r="Y393">
        <v>13.263814926147459</v>
      </c>
      <c r="Z393">
        <v>11.844364166259769</v>
      </c>
      <c r="AA393">
        <f t="shared" si="25"/>
        <v>-0.34729373042053807</v>
      </c>
      <c r="AB393">
        <f t="shared" si="26"/>
        <v>1.1974025027770112</v>
      </c>
      <c r="AC393" s="13">
        <f t="shared" si="27"/>
        <v>-0.20327382322238824</v>
      </c>
      <c r="AD393" s="13"/>
      <c r="AE393" s="13"/>
      <c r="AF393" s="13"/>
    </row>
    <row r="394" spans="1:32">
      <c r="A394" s="1" t="s">
        <v>817</v>
      </c>
      <c r="B394">
        <v>904.8126581673032</v>
      </c>
      <c r="C394">
        <v>179.41077340786543</v>
      </c>
      <c r="D394">
        <v>72.726003333333338</v>
      </c>
      <c r="E394">
        <v>194.07174000000001</v>
      </c>
      <c r="F394">
        <v>121.34573666666667</v>
      </c>
      <c r="G394">
        <v>0.44658119658119655</v>
      </c>
      <c r="H394">
        <v>17.835865784993754</v>
      </c>
      <c r="I394">
        <v>7.6746123335451846E-2</v>
      </c>
      <c r="J394">
        <v>3.4998944322679783E-2</v>
      </c>
      <c r="K394">
        <v>0</v>
      </c>
      <c r="L394">
        <f t="shared" si="24"/>
        <v>2.0840245225330825</v>
      </c>
      <c r="M394" t="s">
        <v>605</v>
      </c>
      <c r="N394">
        <v>322</v>
      </c>
      <c r="O394">
        <v>14</v>
      </c>
      <c r="P394">
        <v>969</v>
      </c>
      <c r="Q394">
        <v>362.78429169930098</v>
      </c>
      <c r="R394">
        <v>457.88400509138302</v>
      </c>
      <c r="S394" t="s">
        <v>818</v>
      </c>
      <c r="T394">
        <v>0</v>
      </c>
      <c r="U394">
        <v>0</v>
      </c>
      <c r="V394">
        <v>0</v>
      </c>
      <c r="W394">
        <v>210.42212000000001</v>
      </c>
      <c r="X394">
        <v>2.1760260047345898</v>
      </c>
      <c r="Y394">
        <v>9.3809576034545898</v>
      </c>
      <c r="Z394">
        <v>12.13116550445557</v>
      </c>
      <c r="AA394">
        <f t="shared" si="25"/>
        <v>-0.34723733465382006</v>
      </c>
      <c r="AB394">
        <f t="shared" si="26"/>
        <v>1.042670133384145</v>
      </c>
      <c r="AC394" s="13">
        <f t="shared" si="27"/>
        <v>-0.10193035839576282</v>
      </c>
      <c r="AD394" s="13"/>
      <c r="AE394" s="13"/>
      <c r="AF394" s="13"/>
    </row>
    <row r="395" spans="1:32">
      <c r="A395" s="1" t="s">
        <v>819</v>
      </c>
      <c r="B395">
        <v>920.25918605901518</v>
      </c>
      <c r="C395">
        <v>46.705264096797599</v>
      </c>
      <c r="D395">
        <v>2.1058073333333334</v>
      </c>
      <c r="E395">
        <v>127.76814666666667</v>
      </c>
      <c r="F395">
        <v>125.66233933333332</v>
      </c>
      <c r="G395">
        <v>0.51345755693581774</v>
      </c>
      <c r="H395">
        <v>19.43650220288394</v>
      </c>
      <c r="I395">
        <v>6.850819387835741E-2</v>
      </c>
      <c r="J395">
        <v>3.5005931895795192E-2</v>
      </c>
      <c r="K395">
        <v>0</v>
      </c>
      <c r="L395">
        <f t="shared" si="24"/>
        <v>2.0992051402923937</v>
      </c>
      <c r="M395" t="s">
        <v>605</v>
      </c>
      <c r="N395">
        <v>332</v>
      </c>
      <c r="O395">
        <v>4</v>
      </c>
      <c r="P395">
        <v>999</v>
      </c>
      <c r="Q395">
        <v>100.539962435756</v>
      </c>
      <c r="R395">
        <v>126.895352762348</v>
      </c>
      <c r="S395" t="s">
        <v>820</v>
      </c>
      <c r="T395">
        <v>0</v>
      </c>
      <c r="U395">
        <v>0</v>
      </c>
      <c r="V395">
        <v>0</v>
      </c>
      <c r="W395">
        <v>227.48257000000001</v>
      </c>
      <c r="X395">
        <v>0.55782450832320196</v>
      </c>
      <c r="Y395">
        <v>12.53770065307617</v>
      </c>
      <c r="Z395">
        <v>12.61469173431396</v>
      </c>
      <c r="AA395">
        <f t="shared" si="25"/>
        <v>-0.34695251843680891</v>
      </c>
      <c r="AB395">
        <f t="shared" si="26"/>
        <v>1.2074787427560814</v>
      </c>
      <c r="AC395" s="13">
        <f t="shared" si="27"/>
        <v>-0.35636910581445685</v>
      </c>
      <c r="AD395" s="13"/>
      <c r="AE395" s="13"/>
      <c r="AF395" s="13"/>
    </row>
    <row r="396" spans="1:32">
      <c r="A396" s="1" t="s">
        <v>821</v>
      </c>
      <c r="B396">
        <v>1019.2987622464894</v>
      </c>
      <c r="C396">
        <v>284.04203495513883</v>
      </c>
      <c r="D396">
        <v>3.0248519999999997</v>
      </c>
      <c r="E396">
        <v>131.78440666666665</v>
      </c>
      <c r="F396">
        <v>128.75955466666665</v>
      </c>
      <c r="G396">
        <v>0.45053763440860217</v>
      </c>
      <c r="H396">
        <v>18.557734440480345</v>
      </c>
      <c r="I396">
        <v>8.2740766476265326E-2</v>
      </c>
      <c r="J396">
        <v>3.4458727778650999E-2</v>
      </c>
      <c r="K396">
        <v>0</v>
      </c>
      <c r="L396">
        <f t="shared" si="24"/>
        <v>2.1097794659466005</v>
      </c>
      <c r="M396" t="s">
        <v>605</v>
      </c>
      <c r="N396">
        <v>320</v>
      </c>
      <c r="O396">
        <v>8</v>
      </c>
      <c r="P396">
        <v>963</v>
      </c>
      <c r="Q396">
        <v>208.59693140876499</v>
      </c>
      <c r="R396">
        <v>263.27820853496502</v>
      </c>
      <c r="S396" t="s">
        <v>822</v>
      </c>
      <c r="T396">
        <v>0</v>
      </c>
      <c r="U396">
        <v>0</v>
      </c>
      <c r="V396">
        <v>0</v>
      </c>
      <c r="W396">
        <v>130.80314999999999</v>
      </c>
      <c r="X396">
        <v>2.0127818675235698</v>
      </c>
      <c r="Y396">
        <v>9.8721084594726563</v>
      </c>
      <c r="Z396">
        <v>12.01377010345459</v>
      </c>
      <c r="AA396">
        <f t="shared" si="25"/>
        <v>-0.34674815930935871</v>
      </c>
      <c r="AB396">
        <f t="shared" si="26"/>
        <v>1.11699692485922</v>
      </c>
      <c r="AC396" s="13">
        <f t="shared" si="27"/>
        <v>-0.25152840282361033</v>
      </c>
      <c r="AD396" s="13"/>
      <c r="AE396" s="13"/>
      <c r="AF396" s="13"/>
    </row>
    <row r="397" spans="1:32">
      <c r="A397" s="1" t="s">
        <v>823</v>
      </c>
      <c r="B397">
        <v>925.67097614636805</v>
      </c>
      <c r="C397">
        <v>116.22718268532863</v>
      </c>
      <c r="D397">
        <v>1.3333700000000002</v>
      </c>
      <c r="E397">
        <v>133.42713666666666</v>
      </c>
      <c r="F397">
        <v>132.09376666666665</v>
      </c>
      <c r="G397">
        <v>0.52996845425867511</v>
      </c>
      <c r="H397">
        <v>21.761047832979788</v>
      </c>
      <c r="I397">
        <v>6.344658278980579</v>
      </c>
      <c r="J397">
        <v>7.2020130398037843</v>
      </c>
      <c r="K397">
        <v>0</v>
      </c>
      <c r="L397">
        <f t="shared" si="24"/>
        <v>2.1208823243053536</v>
      </c>
      <c r="M397" t="s">
        <v>605</v>
      </c>
      <c r="N397">
        <v>327</v>
      </c>
      <c r="O397">
        <v>35</v>
      </c>
      <c r="P397">
        <v>984</v>
      </c>
      <c r="Q397">
        <v>893.13510837556498</v>
      </c>
      <c r="R397">
        <v>1127.2601649734499</v>
      </c>
      <c r="S397" t="s">
        <v>824</v>
      </c>
      <c r="T397">
        <v>0</v>
      </c>
      <c r="U397">
        <v>0</v>
      </c>
      <c r="V397">
        <v>0</v>
      </c>
      <c r="W397">
        <v>133.64663999999999</v>
      </c>
      <c r="X397">
        <v>8.4346315401079508</v>
      </c>
      <c r="Y397">
        <v>13.07341957092285</v>
      </c>
      <c r="Z397">
        <v>11.56025218963623</v>
      </c>
      <c r="AA397">
        <f t="shared" si="25"/>
        <v>-0.34652816276997683</v>
      </c>
      <c r="AB397">
        <f t="shared" si="26"/>
        <v>1.4468242483535876</v>
      </c>
      <c r="AC397" s="13">
        <f t="shared" si="27"/>
        <v>0.41263481014970832</v>
      </c>
      <c r="AD397" s="13"/>
      <c r="AE397" s="13"/>
      <c r="AF397" s="13"/>
    </row>
    <row r="398" spans="1:32">
      <c r="A398" s="1" t="s">
        <v>825</v>
      </c>
      <c r="B398">
        <v>731.29583119975348</v>
      </c>
      <c r="C398">
        <v>260.40842310725935</v>
      </c>
      <c r="D398">
        <v>2793.4914900000003</v>
      </c>
      <c r="E398">
        <v>2932.9016333333334</v>
      </c>
      <c r="F398">
        <v>139.4101433333332</v>
      </c>
      <c r="G398">
        <v>0.48125000000000001</v>
      </c>
      <c r="H398">
        <v>13.107949714608656</v>
      </c>
      <c r="I398">
        <v>9.6635209901709818E-2</v>
      </c>
      <c r="J398">
        <v>4.4508144949252391E-2</v>
      </c>
      <c r="K398">
        <v>0</v>
      </c>
      <c r="L398">
        <f t="shared" si="24"/>
        <v>2.1442943737148759</v>
      </c>
      <c r="M398" t="s">
        <v>605</v>
      </c>
      <c r="N398">
        <v>330</v>
      </c>
      <c r="O398">
        <v>3</v>
      </c>
      <c r="P398">
        <v>993</v>
      </c>
      <c r="Q398">
        <v>75.860590991934103</v>
      </c>
      <c r="R398">
        <v>95.746569040472806</v>
      </c>
      <c r="S398" t="s">
        <v>826</v>
      </c>
      <c r="T398">
        <v>0</v>
      </c>
      <c r="U398">
        <v>0</v>
      </c>
      <c r="V398">
        <v>0</v>
      </c>
      <c r="W398">
        <v>4984.7280000000001</v>
      </c>
      <c r="X398">
        <v>1.9207982670362899E-2</v>
      </c>
      <c r="Y398">
        <v>12.75772190093994</v>
      </c>
      <c r="Z398">
        <v>11.93256187438965</v>
      </c>
      <c r="AA398">
        <f t="shared" si="25"/>
        <v>-0.34604541675758138</v>
      </c>
      <c r="AB398">
        <f t="shared" si="26"/>
        <v>0.55586297088407555</v>
      </c>
      <c r="AC398" s="13">
        <f t="shared" si="27"/>
        <v>-0.38031390711819146</v>
      </c>
      <c r="AD398" s="13"/>
      <c r="AE398" s="13"/>
      <c r="AF398" s="13"/>
    </row>
    <row r="399" spans="1:32">
      <c r="A399" s="1" t="s">
        <v>827</v>
      </c>
      <c r="B399">
        <v>1012.0832768227983</v>
      </c>
      <c r="C399">
        <v>177.8235623174391</v>
      </c>
      <c r="D399">
        <v>23.487592000000003</v>
      </c>
      <c r="E399">
        <v>164.77528666666669</v>
      </c>
      <c r="F399">
        <v>141.28769466666668</v>
      </c>
      <c r="G399">
        <v>0.45194274028629855</v>
      </c>
      <c r="H399">
        <v>17.890875576261578</v>
      </c>
      <c r="I399">
        <v>7.9456742406445402E-2</v>
      </c>
      <c r="J399">
        <v>2.9598353172035189E-2</v>
      </c>
      <c r="K399">
        <v>0</v>
      </c>
      <c r="L399">
        <f t="shared" si="24"/>
        <v>2.150104338981754</v>
      </c>
      <c r="M399" t="s">
        <v>605</v>
      </c>
      <c r="N399">
        <v>336</v>
      </c>
      <c r="O399">
        <v>5</v>
      </c>
      <c r="P399">
        <v>1011</v>
      </c>
      <c r="Q399">
        <v>124.183262207369</v>
      </c>
      <c r="R399">
        <v>156.73647058554101</v>
      </c>
      <c r="S399" t="s">
        <v>828</v>
      </c>
      <c r="T399">
        <v>0</v>
      </c>
      <c r="U399">
        <v>0</v>
      </c>
      <c r="V399">
        <v>0</v>
      </c>
      <c r="W399">
        <v>349.75619999999998</v>
      </c>
      <c r="X399">
        <v>0.44813064238901701</v>
      </c>
      <c r="Y399">
        <v>9.8157796859741211</v>
      </c>
      <c r="Z399">
        <v>12.541006088256839</v>
      </c>
      <c r="AA399">
        <f t="shared" si="25"/>
        <v>-0.34592153297459305</v>
      </c>
      <c r="AB399">
        <f t="shared" si="26"/>
        <v>1.0483341849447367</v>
      </c>
      <c r="AC399" s="13">
        <f t="shared" si="27"/>
        <v>-0.33342953798613484</v>
      </c>
      <c r="AD399" s="13"/>
      <c r="AE399" s="13"/>
      <c r="AF399" s="13"/>
    </row>
    <row r="400" spans="1:32">
      <c r="A400" s="1" t="s">
        <v>829</v>
      </c>
      <c r="B400">
        <v>840.99259949594216</v>
      </c>
      <c r="C400">
        <v>178.24641490610338</v>
      </c>
      <c r="D400">
        <v>0</v>
      </c>
      <c r="E400">
        <v>145.54448466666668</v>
      </c>
      <c r="F400">
        <v>145.54448466666668</v>
      </c>
      <c r="G400">
        <v>0.3955431754874652</v>
      </c>
      <c r="H400">
        <v>21.518335278145827</v>
      </c>
      <c r="I400">
        <v>9.3564700078225746E-2</v>
      </c>
      <c r="J400">
        <v>2.7731853512115979E-2</v>
      </c>
      <c r="K400">
        <v>0</v>
      </c>
      <c r="L400">
        <f t="shared" si="24"/>
        <v>2.162995752720787</v>
      </c>
      <c r="M400" t="s">
        <v>605</v>
      </c>
      <c r="N400">
        <v>369</v>
      </c>
      <c r="O400">
        <v>1</v>
      </c>
      <c r="P400">
        <v>1110</v>
      </c>
      <c r="Q400">
        <v>22.621491548045199</v>
      </c>
      <c r="R400">
        <v>28.551454371528301</v>
      </c>
      <c r="S400" t="s">
        <v>830</v>
      </c>
      <c r="T400">
        <v>0</v>
      </c>
      <c r="U400">
        <v>0</v>
      </c>
      <c r="V400">
        <v>0</v>
      </c>
      <c r="W400">
        <v>90.993324000000001</v>
      </c>
      <c r="X400">
        <v>0.31377526522196703</v>
      </c>
      <c r="Y400">
        <v>11.36107158660889</v>
      </c>
      <c r="Z400">
        <v>13.240860939025881</v>
      </c>
      <c r="AA400">
        <f t="shared" si="25"/>
        <v>-0.34564066329117893</v>
      </c>
      <c r="AB400">
        <f t="shared" si="26"/>
        <v>1.42183348955777</v>
      </c>
      <c r="AC400" s="13">
        <f t="shared" si="27"/>
        <v>-0.43196836925372584</v>
      </c>
      <c r="AD400" s="13"/>
      <c r="AE400" s="13"/>
      <c r="AF400" s="13"/>
    </row>
    <row r="401" spans="1:32">
      <c r="A401" s="1" t="s">
        <v>831</v>
      </c>
      <c r="B401">
        <v>862.7107839718293</v>
      </c>
      <c r="C401">
        <v>176.01485343719364</v>
      </c>
      <c r="D401">
        <v>0</v>
      </c>
      <c r="E401">
        <v>149.89305999999999</v>
      </c>
      <c r="F401">
        <v>149.89305999999999</v>
      </c>
      <c r="G401">
        <v>0.43689320388349517</v>
      </c>
      <c r="H401">
        <v>18.228280899430001</v>
      </c>
      <c r="I401">
        <v>19.434367032568449</v>
      </c>
      <c r="J401">
        <v>5.5431388693555865</v>
      </c>
      <c r="K401">
        <v>0</v>
      </c>
      <c r="L401">
        <f t="shared" si="24"/>
        <v>2.1757815256202804</v>
      </c>
      <c r="M401" t="s">
        <v>605</v>
      </c>
      <c r="N401">
        <v>319</v>
      </c>
      <c r="O401">
        <v>31</v>
      </c>
      <c r="P401">
        <v>960</v>
      </c>
      <c r="Q401">
        <v>810.83908767524599</v>
      </c>
      <c r="R401">
        <v>1023.39119262947</v>
      </c>
      <c r="S401" t="s">
        <v>832</v>
      </c>
      <c r="T401">
        <v>0</v>
      </c>
      <c r="U401">
        <v>0</v>
      </c>
      <c r="V401">
        <v>0</v>
      </c>
      <c r="W401">
        <v>227.48257000000001</v>
      </c>
      <c r="X401">
        <v>4.4987674995471902</v>
      </c>
      <c r="Y401">
        <v>13.640371322631839</v>
      </c>
      <c r="Z401">
        <v>11.255208015441889</v>
      </c>
      <c r="AA401">
        <f t="shared" si="25"/>
        <v>-0.34535373746745363</v>
      </c>
      <c r="AB401">
        <f t="shared" si="26"/>
        <v>1.0830749302411438</v>
      </c>
      <c r="AC401" s="13">
        <f t="shared" si="27"/>
        <v>0.33278829265460957</v>
      </c>
      <c r="AD401" s="13"/>
      <c r="AE401" s="13"/>
      <c r="AF401" s="13"/>
    </row>
    <row r="402" spans="1:32">
      <c r="A402" s="1" t="s">
        <v>833</v>
      </c>
      <c r="B402">
        <v>710.77449690655442</v>
      </c>
      <c r="C402">
        <v>160.11678551911078</v>
      </c>
      <c r="D402">
        <v>2.3568932999999999</v>
      </c>
      <c r="E402">
        <v>153.91145666666668</v>
      </c>
      <c r="F402">
        <v>151.55456336666668</v>
      </c>
      <c r="G402">
        <v>0.4731182795698925</v>
      </c>
      <c r="H402">
        <v>19.718167805541665</v>
      </c>
      <c r="I402">
        <v>7.9222983351039569E-2</v>
      </c>
      <c r="J402">
        <v>3.8579532255899933E-2</v>
      </c>
      <c r="K402">
        <v>0</v>
      </c>
      <c r="L402">
        <f t="shared" si="24"/>
        <v>2.1805690176757615</v>
      </c>
      <c r="M402" t="s">
        <v>605</v>
      </c>
      <c r="N402">
        <v>320</v>
      </c>
      <c r="O402">
        <v>25</v>
      </c>
      <c r="P402">
        <v>963</v>
      </c>
      <c r="Q402">
        <v>651.86541065239305</v>
      </c>
      <c r="R402">
        <v>822.74440167176795</v>
      </c>
      <c r="S402" t="s">
        <v>834</v>
      </c>
      <c r="T402">
        <v>0</v>
      </c>
      <c r="U402">
        <v>0</v>
      </c>
      <c r="V402">
        <v>0</v>
      </c>
      <c r="W402">
        <v>255.91826</v>
      </c>
      <c r="X402">
        <v>3.2148718175552098</v>
      </c>
      <c r="Y402">
        <v>13.22143650054932</v>
      </c>
      <c r="Z402">
        <v>10.421760559082029</v>
      </c>
      <c r="AA402">
        <f t="shared" si="25"/>
        <v>-0.34524410886830098</v>
      </c>
      <c r="AB402">
        <f t="shared" si="26"/>
        <v>1.2364802797466714</v>
      </c>
      <c r="AC402" s="13">
        <f t="shared" si="27"/>
        <v>0.17854639401058189</v>
      </c>
      <c r="AD402" s="13"/>
      <c r="AE402" s="13"/>
      <c r="AF402" s="13"/>
    </row>
    <row r="403" spans="1:32">
      <c r="A403" s="1" t="s">
        <v>835</v>
      </c>
      <c r="B403">
        <v>895.60408631016878</v>
      </c>
      <c r="C403">
        <v>213.25318976004294</v>
      </c>
      <c r="D403">
        <v>0</v>
      </c>
      <c r="E403">
        <v>152.36175133333333</v>
      </c>
      <c r="F403">
        <v>152.36175133333333</v>
      </c>
      <c r="G403">
        <v>0.44302449414270501</v>
      </c>
      <c r="H403">
        <v>20.212834987667375</v>
      </c>
      <c r="I403">
        <v>11.797659574346326</v>
      </c>
      <c r="J403">
        <v>5.4149207049155885</v>
      </c>
      <c r="K403">
        <v>0</v>
      </c>
      <c r="L403">
        <f t="shared" si="24"/>
        <v>2.1828759560473969</v>
      </c>
      <c r="M403" t="s">
        <v>605</v>
      </c>
      <c r="N403">
        <v>323</v>
      </c>
      <c r="O403">
        <v>0</v>
      </c>
      <c r="P403">
        <v>972</v>
      </c>
      <c r="Q403">
        <v>0</v>
      </c>
      <c r="R403">
        <v>0</v>
      </c>
      <c r="S403" t="s">
        <v>836</v>
      </c>
      <c r="T403">
        <v>0</v>
      </c>
      <c r="U403">
        <v>0</v>
      </c>
      <c r="W403">
        <v>73.932013999999995</v>
      </c>
      <c r="X403">
        <v>0</v>
      </c>
      <c r="Y403">
        <v>9.6760091781616211</v>
      </c>
      <c r="Z403">
        <v>12.73387622833252</v>
      </c>
      <c r="AA403">
        <f t="shared" si="25"/>
        <v>-0.34519084933972355</v>
      </c>
      <c r="AB403">
        <f t="shared" si="26"/>
        <v>1.2874134020203305</v>
      </c>
      <c r="AC403" s="13">
        <f t="shared" si="27"/>
        <v>-0.45391654251028785</v>
      </c>
      <c r="AD403" s="13"/>
      <c r="AE403" s="13"/>
      <c r="AF403" s="13"/>
    </row>
    <row r="404" spans="1:32">
      <c r="A404" s="1" t="s">
        <v>837</v>
      </c>
      <c r="B404">
        <v>940.07874043846357</v>
      </c>
      <c r="C404">
        <v>140.44366280430188</v>
      </c>
      <c r="D404">
        <v>98.601563333333345</v>
      </c>
      <c r="E404">
        <v>253.47573333333332</v>
      </c>
      <c r="F404">
        <v>154.87416999999999</v>
      </c>
      <c r="G404">
        <v>0.47390841320553778</v>
      </c>
      <c r="H404">
        <v>16.339283898875475</v>
      </c>
      <c r="I404">
        <v>15.161330619791819</v>
      </c>
      <c r="J404">
        <v>6.8255360161154552</v>
      </c>
      <c r="K404">
        <v>0</v>
      </c>
      <c r="L404">
        <f t="shared" si="24"/>
        <v>2.1899789919240011</v>
      </c>
      <c r="M404" t="s">
        <v>605</v>
      </c>
      <c r="N404">
        <v>323</v>
      </c>
      <c r="O404">
        <v>65</v>
      </c>
      <c r="P404">
        <v>972</v>
      </c>
      <c r="Q404">
        <v>1679.15701151385</v>
      </c>
      <c r="R404">
        <v>2119.32863467672</v>
      </c>
      <c r="S404" t="s">
        <v>838</v>
      </c>
      <c r="T404">
        <v>0</v>
      </c>
      <c r="U404">
        <v>0</v>
      </c>
      <c r="V404">
        <v>0</v>
      </c>
      <c r="W404">
        <v>284.35394000000002</v>
      </c>
      <c r="X404">
        <v>7.4531361678221097</v>
      </c>
      <c r="Y404">
        <v>12.866828918457029</v>
      </c>
      <c r="Z404">
        <v>11.58803081512451</v>
      </c>
      <c r="AA404">
        <f t="shared" si="25"/>
        <v>-0.34502507601392868</v>
      </c>
      <c r="AB404">
        <f t="shared" si="26"/>
        <v>0.88857543910779346</v>
      </c>
      <c r="AC404" s="13">
        <f t="shared" si="27"/>
        <v>1.175261132861064</v>
      </c>
      <c r="AD404" s="13"/>
      <c r="AE404" s="13"/>
      <c r="AF404" s="13"/>
    </row>
    <row r="405" spans="1:32">
      <c r="A405" s="1" t="s">
        <v>839</v>
      </c>
      <c r="B405">
        <v>1051.9841314670771</v>
      </c>
      <c r="C405">
        <v>42.475296424139309</v>
      </c>
      <c r="D405">
        <v>0</v>
      </c>
      <c r="E405">
        <v>155.39940000000001</v>
      </c>
      <c r="F405">
        <v>155.39940000000001</v>
      </c>
      <c r="G405">
        <v>0.44444444444444442</v>
      </c>
      <c r="H405">
        <v>22.127155794263377</v>
      </c>
      <c r="I405">
        <v>22.233784712158325</v>
      </c>
      <c r="J405">
        <v>13.923335747766703</v>
      </c>
      <c r="K405">
        <v>0</v>
      </c>
      <c r="L405">
        <f t="shared" si="24"/>
        <v>2.191449337648987</v>
      </c>
      <c r="M405" t="s">
        <v>605</v>
      </c>
      <c r="N405">
        <v>319</v>
      </c>
      <c r="O405">
        <v>6</v>
      </c>
      <c r="P405">
        <v>960</v>
      </c>
      <c r="Q405">
        <v>156.936597614563</v>
      </c>
      <c r="R405">
        <v>198.075714702478</v>
      </c>
      <c r="S405" t="s">
        <v>840</v>
      </c>
      <c r="T405">
        <v>0</v>
      </c>
      <c r="U405">
        <v>0</v>
      </c>
      <c r="V405">
        <v>0</v>
      </c>
      <c r="W405">
        <v>56.870869999999996</v>
      </c>
      <c r="X405">
        <v>3.4829028411641598</v>
      </c>
      <c r="Y405">
        <v>9.8654708862304688</v>
      </c>
      <c r="Z405">
        <v>12.316162109375</v>
      </c>
      <c r="AA405">
        <f t="shared" si="25"/>
        <v>-0.34499042051440448</v>
      </c>
      <c r="AB405">
        <f t="shared" si="26"/>
        <v>1.4845203442968966</v>
      </c>
      <c r="AC405" s="13">
        <f t="shared" si="27"/>
        <v>-0.30165109054288913</v>
      </c>
      <c r="AD405" s="13"/>
      <c r="AE405" s="13"/>
      <c r="AF405" s="13"/>
    </row>
    <row r="406" spans="1:32">
      <c r="A406" s="1" t="s">
        <v>841</v>
      </c>
      <c r="B406">
        <v>834.01810821847459</v>
      </c>
      <c r="C406">
        <v>112.97161713731678</v>
      </c>
      <c r="D406">
        <v>0</v>
      </c>
      <c r="E406">
        <v>156.16341666666665</v>
      </c>
      <c r="F406">
        <v>156.16341666666665</v>
      </c>
      <c r="G406">
        <v>0.49575371549893843</v>
      </c>
      <c r="H406">
        <v>20.339837447565888</v>
      </c>
      <c r="I406">
        <v>16.90351674246115</v>
      </c>
      <c r="J406">
        <v>9.4724460996258308</v>
      </c>
      <c r="K406">
        <v>0</v>
      </c>
      <c r="L406">
        <f t="shared" si="24"/>
        <v>2.1935793022645185</v>
      </c>
      <c r="M406" t="s">
        <v>605</v>
      </c>
      <c r="N406">
        <v>324</v>
      </c>
      <c r="O406">
        <v>6</v>
      </c>
      <c r="P406">
        <v>975</v>
      </c>
      <c r="Q406">
        <v>154.52218842049299</v>
      </c>
      <c r="R406">
        <v>195.02839601474699</v>
      </c>
      <c r="S406" t="s">
        <v>842</v>
      </c>
      <c r="T406">
        <v>0</v>
      </c>
      <c r="U406">
        <v>0</v>
      </c>
      <c r="V406">
        <v>0</v>
      </c>
      <c r="W406">
        <v>301.41674999999998</v>
      </c>
      <c r="X406">
        <v>0.64703901164997502</v>
      </c>
      <c r="Y406">
        <v>11.455801010131839</v>
      </c>
      <c r="Z406">
        <v>13.79055023193359</v>
      </c>
      <c r="AA406">
        <f t="shared" si="25"/>
        <v>-0.34494000949593995</v>
      </c>
      <c r="AB406">
        <f t="shared" si="26"/>
        <v>1.3004901373543163</v>
      </c>
      <c r="AC406" s="13">
        <f t="shared" si="27"/>
        <v>-0.30399363595777196</v>
      </c>
      <c r="AD406" s="13"/>
      <c r="AE406" s="13"/>
      <c r="AF406" s="13"/>
    </row>
    <row r="407" spans="1:32">
      <c r="A407" s="1" t="s">
        <v>843</v>
      </c>
      <c r="B407">
        <v>827.7972562454388</v>
      </c>
      <c r="C407">
        <v>243.29304169756125</v>
      </c>
      <c r="D407">
        <v>167.56546333333333</v>
      </c>
      <c r="E407">
        <v>325.09957000000003</v>
      </c>
      <c r="F407">
        <v>157.53410666666664</v>
      </c>
      <c r="G407">
        <v>0.54270833333333335</v>
      </c>
      <c r="H407">
        <v>18.952237978460932</v>
      </c>
      <c r="I407">
        <v>0.71185010215027045</v>
      </c>
      <c r="J407">
        <v>0.27000644699678922</v>
      </c>
      <c r="K407">
        <v>0</v>
      </c>
      <c r="L407">
        <f t="shared" si="24"/>
        <v>2.1973745945291316</v>
      </c>
      <c r="M407" t="s">
        <v>605</v>
      </c>
      <c r="N407">
        <v>330</v>
      </c>
      <c r="O407">
        <v>22</v>
      </c>
      <c r="P407">
        <v>993</v>
      </c>
      <c r="Q407">
        <v>556.31100060751601</v>
      </c>
      <c r="R407">
        <v>702.1415062968</v>
      </c>
      <c r="S407" t="s">
        <v>844</v>
      </c>
      <c r="T407">
        <v>0</v>
      </c>
      <c r="U407">
        <v>0</v>
      </c>
      <c r="V407">
        <v>0</v>
      </c>
      <c r="W407">
        <v>373.64170000000001</v>
      </c>
      <c r="X407">
        <v>1.8791840051493101</v>
      </c>
      <c r="Y407">
        <v>12.640302658081049</v>
      </c>
      <c r="Z407">
        <v>13.71584320068359</v>
      </c>
      <c r="AA407">
        <f t="shared" si="25"/>
        <v>-0.34484956921902726</v>
      </c>
      <c r="AB407">
        <f t="shared" si="26"/>
        <v>1.1576167550468834</v>
      </c>
      <c r="AC407" s="13">
        <f t="shared" si="27"/>
        <v>8.583611703175173E-2</v>
      </c>
      <c r="AD407" s="13"/>
      <c r="AE407" s="13"/>
      <c r="AF407" s="13"/>
    </row>
    <row r="408" spans="1:32">
      <c r="A408" s="1" t="s">
        <v>845</v>
      </c>
      <c r="B408">
        <v>996.96116858965445</v>
      </c>
      <c r="C408">
        <v>110.68437156768493</v>
      </c>
      <c r="D408">
        <v>684.1558633333334</v>
      </c>
      <c r="E408">
        <v>844.3730333333333</v>
      </c>
      <c r="F408">
        <v>160.21717000000004</v>
      </c>
      <c r="G408">
        <v>0.4174454828660436</v>
      </c>
      <c r="H408">
        <v>21.38263181422613</v>
      </c>
      <c r="I408">
        <v>4.554211702255027</v>
      </c>
      <c r="J408">
        <v>1.3201316570523458</v>
      </c>
      <c r="K408">
        <v>0</v>
      </c>
      <c r="L408">
        <f t="shared" si="24"/>
        <v>2.2047090562967613</v>
      </c>
      <c r="M408" t="s">
        <v>605</v>
      </c>
      <c r="N408">
        <v>331</v>
      </c>
      <c r="O408">
        <v>49</v>
      </c>
      <c r="P408">
        <v>996</v>
      </c>
      <c r="Q408">
        <v>1235.32422218692</v>
      </c>
      <c r="R408">
        <v>1559.1502040837599</v>
      </c>
      <c r="S408" t="s">
        <v>846</v>
      </c>
      <c r="T408">
        <v>0</v>
      </c>
      <c r="U408">
        <v>0</v>
      </c>
      <c r="V408">
        <v>0</v>
      </c>
      <c r="W408">
        <v>1495.6827000000001</v>
      </c>
      <c r="X408">
        <v>1.04243380235912</v>
      </c>
      <c r="Y408">
        <v>10.83974552154541</v>
      </c>
      <c r="Z408">
        <v>11.335935592651371</v>
      </c>
      <c r="AA408">
        <f t="shared" si="25"/>
        <v>-0.34467253649037183</v>
      </c>
      <c r="AB408">
        <f t="shared" si="26"/>
        <v>1.4078608603425486</v>
      </c>
      <c r="AC408" s="13">
        <f t="shared" si="27"/>
        <v>0.74463882237365286</v>
      </c>
      <c r="AD408" s="13"/>
      <c r="AE408" s="13"/>
      <c r="AF408" s="13"/>
    </row>
    <row r="409" spans="1:32">
      <c r="A409" s="1" t="s">
        <v>847</v>
      </c>
      <c r="B409">
        <v>162.06199259356299</v>
      </c>
      <c r="C409">
        <v>72.271808865216954</v>
      </c>
      <c r="D409">
        <v>2.4221677666666666</v>
      </c>
      <c r="E409">
        <v>164.85668733333333</v>
      </c>
      <c r="F409">
        <v>162.43451956666664</v>
      </c>
      <c r="G409">
        <v>0.42688172043010753</v>
      </c>
      <c r="H409">
        <v>0.57397142798579193</v>
      </c>
      <c r="I409">
        <v>12.241676352153453</v>
      </c>
      <c r="J409">
        <v>4.2264790038445836</v>
      </c>
      <c r="K409">
        <v>1</v>
      </c>
      <c r="L409">
        <f t="shared" si="24"/>
        <v>2.2106783282563978</v>
      </c>
      <c r="M409" t="s">
        <v>605</v>
      </c>
      <c r="N409">
        <v>320</v>
      </c>
      <c r="O409">
        <v>2</v>
      </c>
      <c r="P409">
        <v>963</v>
      </c>
      <c r="Q409">
        <v>52.149232852191403</v>
      </c>
      <c r="R409">
        <v>65.819552133741396</v>
      </c>
      <c r="S409" t="s">
        <v>848</v>
      </c>
      <c r="T409">
        <v>0</v>
      </c>
      <c r="U409">
        <v>0</v>
      </c>
      <c r="V409">
        <v>0</v>
      </c>
      <c r="W409">
        <v>45.496662000000001</v>
      </c>
      <c r="X409">
        <v>1.4466896963505</v>
      </c>
      <c r="Y409">
        <v>12.80291271209717</v>
      </c>
      <c r="Z409">
        <v>12.74734306335449</v>
      </c>
      <c r="AA409">
        <f t="shared" si="25"/>
        <v>-0.34452623228677998</v>
      </c>
      <c r="AB409">
        <f t="shared" si="26"/>
        <v>-0.73469090395477521</v>
      </c>
      <c r="AC409" s="13">
        <f t="shared" si="27"/>
        <v>-0.40331950758861834</v>
      </c>
      <c r="AD409" s="13"/>
      <c r="AE409" s="13"/>
      <c r="AF409" s="13"/>
    </row>
    <row r="410" spans="1:32">
      <c r="A410" s="1" t="s">
        <v>849</v>
      </c>
      <c r="B410">
        <v>947.36377108384806</v>
      </c>
      <c r="C410">
        <v>297.10112610948363</v>
      </c>
      <c r="D410">
        <v>256.84669486666667</v>
      </c>
      <c r="E410">
        <v>421.60512333333332</v>
      </c>
      <c r="F410">
        <v>164.75842846666663</v>
      </c>
      <c r="G410">
        <v>0.44834930777422788</v>
      </c>
      <c r="H410">
        <v>17.13363547197169</v>
      </c>
      <c r="I410">
        <v>7.3012708432156695E-2</v>
      </c>
      <c r="J410">
        <v>4.4096840480631859E-2</v>
      </c>
      <c r="K410">
        <v>0</v>
      </c>
      <c r="L410">
        <f t="shared" si="24"/>
        <v>2.2168476408255926</v>
      </c>
      <c r="M410" t="s">
        <v>605</v>
      </c>
      <c r="N410">
        <v>323</v>
      </c>
      <c r="O410">
        <v>0</v>
      </c>
      <c r="P410">
        <v>972</v>
      </c>
      <c r="Q410">
        <v>0</v>
      </c>
      <c r="R410">
        <v>0</v>
      </c>
      <c r="S410" t="s">
        <v>850</v>
      </c>
      <c r="T410">
        <v>0</v>
      </c>
      <c r="U410">
        <v>0</v>
      </c>
      <c r="W410">
        <v>446.43606999999997</v>
      </c>
      <c r="X410">
        <v>0</v>
      </c>
      <c r="Y410">
        <v>10.14408111572266</v>
      </c>
      <c r="Z410">
        <v>12.24950695037842</v>
      </c>
      <c r="AA410">
        <f t="shared" si="25"/>
        <v>-0.34437289713117536</v>
      </c>
      <c r="AB410">
        <f t="shared" si="26"/>
        <v>0.97036539256078236</v>
      </c>
      <c r="AC410" s="13">
        <f t="shared" si="27"/>
        <v>-0.45391654251028785</v>
      </c>
      <c r="AD410" s="13"/>
      <c r="AE410" s="13"/>
      <c r="AF410" s="13"/>
    </row>
    <row r="411" spans="1:32">
      <c r="A411" s="1" t="s">
        <v>851</v>
      </c>
      <c r="B411">
        <v>133.41719230178111</v>
      </c>
      <c r="C411">
        <v>36.364779761024856</v>
      </c>
      <c r="D411">
        <v>106.87643006666667</v>
      </c>
      <c r="E411">
        <v>284.27564000000001</v>
      </c>
      <c r="F411">
        <v>177.39920993333331</v>
      </c>
      <c r="G411">
        <v>0.45726495726495725</v>
      </c>
      <c r="H411">
        <v>7.8318106131727641E-2</v>
      </c>
      <c r="I411">
        <v>7.4098739572569086E-2</v>
      </c>
      <c r="J411">
        <v>3.7970365200776797E-2</v>
      </c>
      <c r="K411">
        <v>1</v>
      </c>
      <c r="L411">
        <f t="shared" si="24"/>
        <v>2.2489516813223269</v>
      </c>
      <c r="M411" t="s">
        <v>605</v>
      </c>
      <c r="N411">
        <v>322</v>
      </c>
      <c r="O411">
        <v>14</v>
      </c>
      <c r="P411">
        <v>969</v>
      </c>
      <c r="Q411">
        <v>362.78429169930098</v>
      </c>
      <c r="R411">
        <v>457.88400509138302</v>
      </c>
      <c r="S411" t="s">
        <v>852</v>
      </c>
      <c r="T411">
        <v>0</v>
      </c>
      <c r="U411">
        <v>0</v>
      </c>
      <c r="V411">
        <v>0</v>
      </c>
      <c r="W411">
        <v>307.38815</v>
      </c>
      <c r="X411">
        <v>1.489595500319</v>
      </c>
      <c r="Y411">
        <v>12.780293464660639</v>
      </c>
      <c r="Z411">
        <v>11.334372520446779</v>
      </c>
      <c r="AA411">
        <f t="shared" si="25"/>
        <v>-0.34353883853569628</v>
      </c>
      <c r="AB411">
        <f t="shared" si="26"/>
        <v>-0.78572556353913148</v>
      </c>
      <c r="AC411" s="13">
        <f t="shared" si="27"/>
        <v>-0.10193035839576282</v>
      </c>
      <c r="AD411" s="13"/>
      <c r="AE411" s="13"/>
      <c r="AF411" s="13"/>
    </row>
    <row r="412" spans="1:32">
      <c r="A412" s="1" t="s">
        <v>853</v>
      </c>
      <c r="B412">
        <v>777.02118696765274</v>
      </c>
      <c r="C412">
        <v>58.152514463352674</v>
      </c>
      <c r="D412">
        <v>591.56073666666668</v>
      </c>
      <c r="E412">
        <v>771.72355333333337</v>
      </c>
      <c r="F412">
        <v>180.16281666666657</v>
      </c>
      <c r="G412">
        <v>0.44694533762057875</v>
      </c>
      <c r="H412">
        <v>18.92540243622247</v>
      </c>
      <c r="I412">
        <v>8.3574110387655318E-2</v>
      </c>
      <c r="J412">
        <v>2.7099788863911439E-2</v>
      </c>
      <c r="K412">
        <v>0</v>
      </c>
      <c r="L412">
        <f t="shared" si="24"/>
        <v>2.2556651629871292</v>
      </c>
      <c r="M412" t="s">
        <v>605</v>
      </c>
      <c r="N412">
        <v>321</v>
      </c>
      <c r="O412">
        <v>25</v>
      </c>
      <c r="P412">
        <v>966</v>
      </c>
      <c r="Q412">
        <v>649.840983911237</v>
      </c>
      <c r="R412">
        <v>820.18929483427701</v>
      </c>
      <c r="S412" t="s">
        <v>854</v>
      </c>
      <c r="T412">
        <v>0</v>
      </c>
      <c r="U412">
        <v>0</v>
      </c>
      <c r="V412">
        <v>0</v>
      </c>
      <c r="W412">
        <v>958.27826000000005</v>
      </c>
      <c r="X412">
        <v>0.85589888560581295</v>
      </c>
      <c r="Y412">
        <v>11.835470199584959</v>
      </c>
      <c r="Z412">
        <v>13.09865760803223</v>
      </c>
      <c r="AA412">
        <f t="shared" si="25"/>
        <v>-0.34335649142713037</v>
      </c>
      <c r="AB412">
        <f t="shared" si="26"/>
        <v>1.1548536488544774</v>
      </c>
      <c r="AC412" s="13">
        <f t="shared" si="27"/>
        <v>0.17658222340026908</v>
      </c>
      <c r="AD412" s="13"/>
      <c r="AE412" s="13"/>
      <c r="AF412" s="13"/>
    </row>
    <row r="413" spans="1:32">
      <c r="A413" s="1" t="s">
        <v>855</v>
      </c>
      <c r="B413">
        <v>894.88958413948842</v>
      </c>
      <c r="C413">
        <v>189.57826757406039</v>
      </c>
      <c r="D413">
        <v>50.64550666666667</v>
      </c>
      <c r="E413">
        <v>238.90048333333334</v>
      </c>
      <c r="F413">
        <v>188.25497666666669</v>
      </c>
      <c r="G413">
        <v>0.47970085470085472</v>
      </c>
      <c r="H413">
        <v>19.306233561203655</v>
      </c>
      <c r="I413">
        <v>8.5461679992675912E-2</v>
      </c>
      <c r="J413">
        <v>5.241100302010146E-2</v>
      </c>
      <c r="K413">
        <v>0</v>
      </c>
      <c r="L413">
        <f t="shared" si="24"/>
        <v>2.2747464659367651</v>
      </c>
      <c r="M413" t="s">
        <v>605</v>
      </c>
      <c r="N413">
        <v>322</v>
      </c>
      <c r="O413">
        <v>3</v>
      </c>
      <c r="P413">
        <v>969</v>
      </c>
      <c r="Q413">
        <v>77.739491078421594</v>
      </c>
      <c r="R413">
        <v>98.118001091010797</v>
      </c>
      <c r="S413" t="s">
        <v>856</v>
      </c>
      <c r="T413">
        <v>0</v>
      </c>
      <c r="U413">
        <v>0</v>
      </c>
      <c r="V413">
        <v>0</v>
      </c>
      <c r="W413">
        <v>346.91055</v>
      </c>
      <c r="X413">
        <v>0.282833719213817</v>
      </c>
      <c r="Y413">
        <v>10.109382629394529</v>
      </c>
      <c r="Z413">
        <v>12.27447032928467</v>
      </c>
      <c r="AA413">
        <f t="shared" si="25"/>
        <v>-0.34282255801314093</v>
      </c>
      <c r="AB413">
        <f t="shared" si="26"/>
        <v>1.194065706891011</v>
      </c>
      <c r="AC413" s="13">
        <f t="shared" si="27"/>
        <v>-0.37849093162860403</v>
      </c>
      <c r="AD413" s="13"/>
      <c r="AE413" s="13"/>
      <c r="AF413" s="13"/>
    </row>
    <row r="414" spans="1:32">
      <c r="A414" s="1" t="s">
        <v>857</v>
      </c>
      <c r="B414">
        <v>913.24624247103668</v>
      </c>
      <c r="C414">
        <v>200.02958655067448</v>
      </c>
      <c r="D414">
        <v>276.57045799999997</v>
      </c>
      <c r="E414">
        <v>469.78463333333337</v>
      </c>
      <c r="F414">
        <v>193.21417533333337</v>
      </c>
      <c r="G414">
        <v>0.41346153846153844</v>
      </c>
      <c r="H414">
        <v>20.859426189698855</v>
      </c>
      <c r="I414">
        <v>23.009034807947589</v>
      </c>
      <c r="J414">
        <v>7.4896967170595508</v>
      </c>
      <c r="K414">
        <v>0</v>
      </c>
      <c r="L414">
        <f t="shared" si="24"/>
        <v>2.286038985657167</v>
      </c>
      <c r="M414" t="s">
        <v>605</v>
      </c>
      <c r="N414">
        <v>322</v>
      </c>
      <c r="O414">
        <v>9</v>
      </c>
      <c r="P414">
        <v>969</v>
      </c>
      <c r="Q414">
        <v>233.21847323526401</v>
      </c>
      <c r="R414">
        <v>294.35400327303199</v>
      </c>
      <c r="S414" t="s">
        <v>858</v>
      </c>
      <c r="T414">
        <v>0</v>
      </c>
      <c r="U414">
        <v>0</v>
      </c>
      <c r="V414">
        <v>0</v>
      </c>
      <c r="W414">
        <v>932.68389999999999</v>
      </c>
      <c r="X414">
        <v>0.315598889691386</v>
      </c>
      <c r="Y414">
        <v>12.50661087036133</v>
      </c>
      <c r="Z414">
        <v>13.795754432678221</v>
      </c>
      <c r="AA414">
        <f t="shared" si="25"/>
        <v>-0.34249534230376971</v>
      </c>
      <c r="AB414">
        <f t="shared" si="26"/>
        <v>1.3539892937393254</v>
      </c>
      <c r="AC414" s="13">
        <f t="shared" si="27"/>
        <v>-0.22763970986523693</v>
      </c>
      <c r="AD414" s="13"/>
      <c r="AE414" s="13"/>
      <c r="AF414" s="13"/>
    </row>
    <row r="415" spans="1:32">
      <c r="A415" s="1" t="s">
        <v>859</v>
      </c>
      <c r="B415">
        <v>993.33981724474313</v>
      </c>
      <c r="C415">
        <v>90.337486350902566</v>
      </c>
      <c r="D415">
        <v>191.75557333333333</v>
      </c>
      <c r="E415">
        <v>390.7904866666666</v>
      </c>
      <c r="F415">
        <v>199.03491333333332</v>
      </c>
      <c r="G415">
        <v>0.43386243386243384</v>
      </c>
      <c r="H415">
        <v>18.835370875434624</v>
      </c>
      <c r="I415">
        <v>15.787262577173252</v>
      </c>
      <c r="J415">
        <v>8.3418952620366351</v>
      </c>
      <c r="K415">
        <v>0</v>
      </c>
      <c r="L415">
        <f t="shared" si="24"/>
        <v>2.2989292640381911</v>
      </c>
      <c r="M415" t="s">
        <v>605</v>
      </c>
      <c r="N415">
        <v>325</v>
      </c>
      <c r="O415">
        <v>0</v>
      </c>
      <c r="P415">
        <v>978</v>
      </c>
      <c r="Q415">
        <v>0</v>
      </c>
      <c r="R415">
        <v>0</v>
      </c>
      <c r="S415" t="s">
        <v>860</v>
      </c>
      <c r="T415">
        <v>0</v>
      </c>
      <c r="U415">
        <v>0</v>
      </c>
      <c r="W415">
        <v>425.10879999999997</v>
      </c>
      <c r="X415">
        <v>0</v>
      </c>
      <c r="AA415">
        <f t="shared" si="25"/>
        <v>-0.3421112808773672</v>
      </c>
      <c r="AB415">
        <f t="shared" si="26"/>
        <v>1.1455836009115548</v>
      </c>
      <c r="AC415" s="13">
        <f t="shared" si="27"/>
        <v>-0.45391654251028785</v>
      </c>
      <c r="AD415" s="13"/>
      <c r="AE415" s="13"/>
      <c r="AF415" s="13"/>
    </row>
    <row r="416" spans="1:32">
      <c r="A416" s="1" t="s">
        <v>861</v>
      </c>
      <c r="B416">
        <v>1083.8121462233457</v>
      </c>
      <c r="C416">
        <v>75.636823667843217</v>
      </c>
      <c r="D416">
        <v>1422.9541666666667</v>
      </c>
      <c r="E416">
        <v>1626.1317933333332</v>
      </c>
      <c r="F416">
        <v>203.17762666666667</v>
      </c>
      <c r="G416">
        <v>0.43278688524590164</v>
      </c>
      <c r="H416">
        <v>20.815856273832193</v>
      </c>
      <c r="I416">
        <v>1.2055615325889988</v>
      </c>
      <c r="J416">
        <v>0.34129625758274812</v>
      </c>
      <c r="K416">
        <v>0</v>
      </c>
      <c r="L416">
        <f t="shared" si="24"/>
        <v>2.3078758829909582</v>
      </c>
      <c r="M416" t="s">
        <v>605</v>
      </c>
      <c r="N416">
        <v>315</v>
      </c>
      <c r="O416">
        <v>1</v>
      </c>
      <c r="P416">
        <v>948</v>
      </c>
      <c r="Q416">
        <v>26.4871894708124</v>
      </c>
      <c r="R416">
        <v>33.430500371726197</v>
      </c>
      <c r="S416" t="s">
        <v>862</v>
      </c>
      <c r="T416">
        <v>0</v>
      </c>
      <c r="U416">
        <v>0</v>
      </c>
      <c r="V416">
        <v>0</v>
      </c>
      <c r="W416">
        <v>2558.6203999999998</v>
      </c>
      <c r="X416">
        <v>1.30658304654048E-2</v>
      </c>
      <c r="Y416">
        <v>13.59849166870117</v>
      </c>
      <c r="Z416">
        <v>11.40127372741699</v>
      </c>
      <c r="AA416">
        <f t="shared" si="25"/>
        <v>-0.34183793815141439</v>
      </c>
      <c r="AB416">
        <f t="shared" si="26"/>
        <v>1.3495031423784176</v>
      </c>
      <c r="AC416" s="13">
        <f t="shared" si="27"/>
        <v>-0.42821773205165509</v>
      </c>
      <c r="AD416" s="13"/>
      <c r="AE416" s="13"/>
      <c r="AF416" s="13"/>
    </row>
    <row r="417" spans="1:32">
      <c r="A417" s="1" t="s">
        <v>863</v>
      </c>
      <c r="B417">
        <v>823.09172392633661</v>
      </c>
      <c r="C417">
        <v>123.40700338690952</v>
      </c>
      <c r="D417">
        <v>16.846467333333333</v>
      </c>
      <c r="E417">
        <v>226.39436166666667</v>
      </c>
      <c r="F417">
        <v>209.54789433333335</v>
      </c>
      <c r="G417">
        <v>0.45053763440860217</v>
      </c>
      <c r="H417">
        <v>17.053311417592326</v>
      </c>
      <c r="I417">
        <v>13.719523239582907</v>
      </c>
      <c r="J417">
        <v>9.1838498741535854</v>
      </c>
      <c r="K417">
        <v>0</v>
      </c>
      <c r="L417">
        <f t="shared" si="24"/>
        <v>2.3212833011325991</v>
      </c>
      <c r="M417" t="s">
        <v>605</v>
      </c>
      <c r="N417">
        <v>320</v>
      </c>
      <c r="O417">
        <v>1</v>
      </c>
      <c r="P417">
        <v>963</v>
      </c>
      <c r="Q417">
        <v>26.074616426095702</v>
      </c>
      <c r="R417">
        <v>32.909776066870698</v>
      </c>
      <c r="S417" t="s">
        <v>864</v>
      </c>
      <c r="T417">
        <v>0</v>
      </c>
      <c r="U417">
        <v>0</v>
      </c>
      <c r="V417">
        <v>0</v>
      </c>
      <c r="W417">
        <v>203.59619000000001</v>
      </c>
      <c r="X417">
        <v>0.16164239648527101</v>
      </c>
      <c r="Y417">
        <v>12.24960517883301</v>
      </c>
      <c r="Z417">
        <v>12.40560817718506</v>
      </c>
      <c r="AA417">
        <f t="shared" si="25"/>
        <v>-0.34141761789535291</v>
      </c>
      <c r="AB417">
        <f t="shared" si="26"/>
        <v>0.96209487243927461</v>
      </c>
      <c r="AC417" s="13">
        <f t="shared" si="27"/>
        <v>-0.42861802504945312</v>
      </c>
      <c r="AD417" s="13"/>
      <c r="AE417" s="13"/>
      <c r="AF417" s="13"/>
    </row>
    <row r="418" spans="1:32">
      <c r="A418" s="1" t="s">
        <v>865</v>
      </c>
      <c r="B418">
        <v>889.75488403000202</v>
      </c>
      <c r="C418">
        <v>211.4443627054641</v>
      </c>
      <c r="D418">
        <v>63.488651666666669</v>
      </c>
      <c r="E418">
        <v>276.11328333333336</v>
      </c>
      <c r="F418">
        <v>212.62463166666666</v>
      </c>
      <c r="G418">
        <v>0.43842887473460723</v>
      </c>
      <c r="H418">
        <v>20.30392315108708</v>
      </c>
      <c r="I418">
        <v>2.8870564176576181</v>
      </c>
      <c r="J418">
        <v>1.6860139346095075</v>
      </c>
      <c r="K418">
        <v>0</v>
      </c>
      <c r="L418">
        <f t="shared" si="24"/>
        <v>2.3276135742854214</v>
      </c>
      <c r="M418" t="s">
        <v>605</v>
      </c>
      <c r="N418">
        <v>324</v>
      </c>
      <c r="O418">
        <v>6</v>
      </c>
      <c r="P418">
        <v>975</v>
      </c>
      <c r="Q418">
        <v>154.52218842049299</v>
      </c>
      <c r="R418">
        <v>195.02839601474699</v>
      </c>
      <c r="S418" t="s">
        <v>866</v>
      </c>
      <c r="T418">
        <v>0</v>
      </c>
      <c r="U418">
        <v>0</v>
      </c>
      <c r="V418">
        <v>0</v>
      </c>
      <c r="W418">
        <v>295.72879999999998</v>
      </c>
      <c r="X418">
        <v>0.65948394615183803</v>
      </c>
      <c r="Y418">
        <v>9.3766622543334961</v>
      </c>
      <c r="Z418">
        <v>12.365334510803221</v>
      </c>
      <c r="AA418">
        <f t="shared" si="25"/>
        <v>-0.3412146099384743</v>
      </c>
      <c r="AB418">
        <f t="shared" si="26"/>
        <v>1.2967922424463363</v>
      </c>
      <c r="AC418" s="13">
        <f t="shared" si="27"/>
        <v>-0.30399363595777196</v>
      </c>
      <c r="AD418" s="13"/>
      <c r="AE418" s="13"/>
      <c r="AF418" s="13"/>
    </row>
    <row r="419" spans="1:32">
      <c r="A419" s="1" t="s">
        <v>867</v>
      </c>
      <c r="B419">
        <v>1044.0702065271516</v>
      </c>
      <c r="C419">
        <v>187.46211415862044</v>
      </c>
      <c r="D419">
        <v>0</v>
      </c>
      <c r="E419">
        <v>213.24991333333332</v>
      </c>
      <c r="F419">
        <v>213.24991333333332</v>
      </c>
      <c r="G419">
        <v>0.47204301075268817</v>
      </c>
      <c r="H419">
        <v>21.212981040379333</v>
      </c>
      <c r="I419">
        <v>14.053138602350314</v>
      </c>
      <c r="J419">
        <v>5.124422254724978</v>
      </c>
      <c r="K419">
        <v>0</v>
      </c>
      <c r="L419">
        <f t="shared" si="24"/>
        <v>2.3288888633384457</v>
      </c>
      <c r="M419" t="s">
        <v>605</v>
      </c>
      <c r="N419">
        <v>320</v>
      </c>
      <c r="O419">
        <v>21</v>
      </c>
      <c r="P419">
        <v>963</v>
      </c>
      <c r="Q419">
        <v>547.56694494801002</v>
      </c>
      <c r="R419">
        <v>691.10529740428501</v>
      </c>
      <c r="S419" t="s">
        <v>868</v>
      </c>
      <c r="T419">
        <v>0</v>
      </c>
      <c r="U419">
        <v>0</v>
      </c>
      <c r="V419">
        <v>0</v>
      </c>
      <c r="W419">
        <v>350.6103</v>
      </c>
      <c r="X419">
        <v>1.9711494425699501</v>
      </c>
      <c r="Y419">
        <v>9.3204507827758789</v>
      </c>
      <c r="Z419">
        <v>12.741725921630859</v>
      </c>
      <c r="AA419">
        <f t="shared" si="25"/>
        <v>-0.34117335287299505</v>
      </c>
      <c r="AB419">
        <f t="shared" si="26"/>
        <v>1.3903928658598179</v>
      </c>
      <c r="AC419" s="13">
        <f t="shared" si="27"/>
        <v>7.7352324167242595E-2</v>
      </c>
      <c r="AD419" s="13"/>
      <c r="AE419" s="13"/>
      <c r="AF419" s="13"/>
    </row>
    <row r="420" spans="1:32">
      <c r="A420" s="1" t="s">
        <v>869</v>
      </c>
      <c r="B420">
        <v>770.91381075408901</v>
      </c>
      <c r="C420">
        <v>191.63069410572081</v>
      </c>
      <c r="D420">
        <v>0</v>
      </c>
      <c r="E420">
        <v>213.29209333333333</v>
      </c>
      <c r="F420">
        <v>213.29209333333333</v>
      </c>
      <c r="G420">
        <v>0.42144373673036095</v>
      </c>
      <c r="H420">
        <v>19.929106273200219</v>
      </c>
      <c r="I420">
        <v>0.35545002155014521</v>
      </c>
      <c r="J420">
        <v>0.12170022922265812</v>
      </c>
      <c r="K420">
        <v>0</v>
      </c>
      <c r="L420">
        <f t="shared" si="24"/>
        <v>2.3289747565964136</v>
      </c>
      <c r="M420" t="s">
        <v>605</v>
      </c>
      <c r="N420">
        <v>324</v>
      </c>
      <c r="O420">
        <v>11</v>
      </c>
      <c r="P420">
        <v>975</v>
      </c>
      <c r="Q420">
        <v>283.29067877090398</v>
      </c>
      <c r="R420">
        <v>357.55205936036998</v>
      </c>
      <c r="S420" t="s">
        <v>870</v>
      </c>
      <c r="T420">
        <v>0</v>
      </c>
      <c r="U420">
        <v>0</v>
      </c>
      <c r="V420">
        <v>0</v>
      </c>
      <c r="W420">
        <v>274.97052000000002</v>
      </c>
      <c r="X420">
        <v>1.3003287020018299</v>
      </c>
      <c r="Y420">
        <v>9.4524431228637695</v>
      </c>
      <c r="Z420">
        <v>12.166885375976561</v>
      </c>
      <c r="AA420">
        <f t="shared" si="25"/>
        <v>-0.34117056977041155</v>
      </c>
      <c r="AB420">
        <f t="shared" si="26"/>
        <v>1.2581994379073216</v>
      </c>
      <c r="AC420" s="13">
        <f t="shared" si="27"/>
        <v>-0.17905788049734186</v>
      </c>
      <c r="AD420" s="13"/>
      <c r="AE420" s="13"/>
      <c r="AF420" s="13"/>
    </row>
    <row r="421" spans="1:32">
      <c r="A421" s="1" t="s">
        <v>871</v>
      </c>
      <c r="B421">
        <v>917.04469775391533</v>
      </c>
      <c r="C421">
        <v>184.61308295574534</v>
      </c>
      <c r="D421">
        <v>154.18502000000001</v>
      </c>
      <c r="E421">
        <v>368.42365999999998</v>
      </c>
      <c r="F421">
        <v>214.23863999999995</v>
      </c>
      <c r="G421">
        <v>0.49038461538461542</v>
      </c>
      <c r="H421">
        <v>20.685053925018931</v>
      </c>
      <c r="I421">
        <v>7.1580922466439614E-2</v>
      </c>
      <c r="J421">
        <v>2.8987707390296175E-2</v>
      </c>
      <c r="K421">
        <v>0</v>
      </c>
      <c r="L421">
        <f t="shared" si="24"/>
        <v>2.3308978027487304</v>
      </c>
      <c r="M421" t="s">
        <v>605</v>
      </c>
      <c r="N421">
        <v>322</v>
      </c>
      <c r="O421">
        <v>57</v>
      </c>
      <c r="P421">
        <v>969</v>
      </c>
      <c r="Q421">
        <v>1477.0503304900101</v>
      </c>
      <c r="R421">
        <v>1864.2420207292</v>
      </c>
      <c r="S421" t="s">
        <v>872</v>
      </c>
      <c r="T421">
        <v>0</v>
      </c>
      <c r="U421">
        <v>0</v>
      </c>
      <c r="V421">
        <v>0</v>
      </c>
      <c r="W421">
        <v>520.93804999999998</v>
      </c>
      <c r="X421">
        <v>3.57862517573674</v>
      </c>
      <c r="Y421">
        <v>10.819544792175289</v>
      </c>
      <c r="Z421">
        <v>12.47902297973633</v>
      </c>
      <c r="AA421">
        <f t="shared" si="25"/>
        <v>-0.34110811513614414</v>
      </c>
      <c r="AB421">
        <f t="shared" si="26"/>
        <v>1.3360351536649584</v>
      </c>
      <c r="AC421" s="13">
        <f t="shared" si="27"/>
        <v>0.97917006424170594</v>
      </c>
      <c r="AD421" s="13"/>
      <c r="AE421" s="13"/>
      <c r="AF421" s="13"/>
    </row>
    <row r="422" spans="1:32">
      <c r="A422" s="1" t="s">
        <v>873</v>
      </c>
      <c r="B422">
        <v>876.02338333054479</v>
      </c>
      <c r="C422">
        <v>125.09582468320789</v>
      </c>
      <c r="D422">
        <v>248.05702333333332</v>
      </c>
      <c r="E422">
        <v>463.16292666666664</v>
      </c>
      <c r="F422">
        <v>215.10590333333332</v>
      </c>
      <c r="G422">
        <v>0.4627831715210356</v>
      </c>
      <c r="H422">
        <v>17.939499650916584</v>
      </c>
      <c r="I422">
        <v>0.18124552603921096</v>
      </c>
      <c r="J422">
        <v>3.184120980621323E-2</v>
      </c>
      <c r="K422">
        <v>0</v>
      </c>
      <c r="L422">
        <f t="shared" si="24"/>
        <v>2.3326523292619914</v>
      </c>
      <c r="M422" t="s">
        <v>605</v>
      </c>
      <c r="N422">
        <v>319</v>
      </c>
      <c r="O422">
        <v>11</v>
      </c>
      <c r="P422">
        <v>960</v>
      </c>
      <c r="Q422">
        <v>287.71709562669997</v>
      </c>
      <c r="R422">
        <v>363.13881028787603</v>
      </c>
      <c r="S422" t="s">
        <v>874</v>
      </c>
      <c r="T422">
        <v>0</v>
      </c>
      <c r="U422">
        <v>0</v>
      </c>
      <c r="V422">
        <v>0</v>
      </c>
      <c r="W422">
        <v>327.00747999999999</v>
      </c>
      <c r="X422">
        <v>1.1104908373590601</v>
      </c>
      <c r="Y422">
        <v>13.288479804992679</v>
      </c>
      <c r="Z422">
        <v>10.690988540649411</v>
      </c>
      <c r="AA422">
        <f t="shared" si="25"/>
        <v>-0.34105089174061137</v>
      </c>
      <c r="AB422">
        <f t="shared" si="26"/>
        <v>1.0533407348622075</v>
      </c>
      <c r="AC422" s="13">
        <f t="shared" si="27"/>
        <v>-0.174763213903389</v>
      </c>
      <c r="AD422" s="13"/>
      <c r="AE422" s="13"/>
      <c r="AF422" s="13"/>
    </row>
    <row r="423" spans="1:32">
      <c r="A423" s="1" t="s">
        <v>875</v>
      </c>
      <c r="B423">
        <v>1032.3148340533794</v>
      </c>
      <c r="C423">
        <v>89.94131346428523</v>
      </c>
      <c r="D423">
        <v>1693.6938266666666</v>
      </c>
      <c r="E423">
        <v>1915.3024999999998</v>
      </c>
      <c r="F423">
        <v>221.60867333333317</v>
      </c>
      <c r="G423">
        <v>0.52050473186119872</v>
      </c>
      <c r="H423">
        <v>18.429203447574828</v>
      </c>
      <c r="I423">
        <v>0.13084318345836163</v>
      </c>
      <c r="J423">
        <v>4.1950170480032564E-2</v>
      </c>
      <c r="K423">
        <v>0</v>
      </c>
      <c r="L423">
        <f t="shared" si="24"/>
        <v>2.3455867538320829</v>
      </c>
      <c r="M423" t="s">
        <v>605</v>
      </c>
      <c r="N423">
        <v>327</v>
      </c>
      <c r="O423">
        <v>10</v>
      </c>
      <c r="P423">
        <v>984</v>
      </c>
      <c r="Q423">
        <v>255.18145953587501</v>
      </c>
      <c r="R423">
        <v>322.07433284955698</v>
      </c>
      <c r="S423" t="s">
        <v>876</v>
      </c>
      <c r="T423">
        <v>0</v>
      </c>
      <c r="U423">
        <v>0</v>
      </c>
      <c r="V423">
        <v>0</v>
      </c>
      <c r="W423">
        <v>3295.6352999999999</v>
      </c>
      <c r="X423">
        <v>9.7727540680717206E-2</v>
      </c>
      <c r="Y423">
        <v>10.757637977600099</v>
      </c>
      <c r="Z423">
        <v>11.46792697906494</v>
      </c>
      <c r="AA423">
        <f t="shared" si="25"/>
        <v>-0.34062182877269082</v>
      </c>
      <c r="AB423">
        <f t="shared" si="26"/>
        <v>1.1037628050021482</v>
      </c>
      <c r="AC423" s="13">
        <f t="shared" si="27"/>
        <v>-0.20633044175028964</v>
      </c>
      <c r="AD423" s="13"/>
      <c r="AE423" s="13"/>
      <c r="AF423" s="13"/>
    </row>
    <row r="424" spans="1:32">
      <c r="A424" s="1" t="s">
        <v>877</v>
      </c>
      <c r="B424">
        <v>1002.1923649836481</v>
      </c>
      <c r="C424">
        <v>139.82094104442371</v>
      </c>
      <c r="D424">
        <v>0</v>
      </c>
      <c r="E424">
        <v>224.17263000000003</v>
      </c>
      <c r="F424">
        <v>224.17263000000003</v>
      </c>
      <c r="G424">
        <v>0.40282301845819762</v>
      </c>
      <c r="H424">
        <v>21.377433190724528</v>
      </c>
      <c r="I424">
        <v>3.8043671863153734</v>
      </c>
      <c r="J424">
        <v>0.79858663484666514</v>
      </c>
      <c r="K424">
        <v>0</v>
      </c>
      <c r="L424">
        <f t="shared" si="24"/>
        <v>2.3505825870030206</v>
      </c>
      <c r="M424" t="s">
        <v>605</v>
      </c>
      <c r="N424">
        <v>317</v>
      </c>
      <c r="O424">
        <v>4</v>
      </c>
      <c r="P424">
        <v>954</v>
      </c>
      <c r="Q424">
        <v>105.282413494046</v>
      </c>
      <c r="R424">
        <v>132.88098260962801</v>
      </c>
      <c r="S424" t="s">
        <v>878</v>
      </c>
      <c r="T424">
        <v>0</v>
      </c>
      <c r="U424">
        <v>0</v>
      </c>
      <c r="V424">
        <v>0</v>
      </c>
      <c r="W424">
        <v>237.15074000000001</v>
      </c>
      <c r="X424">
        <v>0.56032286725999203</v>
      </c>
      <c r="Y424">
        <v>9.9151468276977539</v>
      </c>
      <c r="Z424">
        <v>12.94438457489014</v>
      </c>
      <c r="AA424">
        <f t="shared" si="25"/>
        <v>-0.34045265488878906</v>
      </c>
      <c r="AB424">
        <f t="shared" si="26"/>
        <v>1.4073255870597647</v>
      </c>
      <c r="AC424" s="13">
        <f t="shared" si="27"/>
        <v>-0.35176781163069165</v>
      </c>
      <c r="AD424" s="13"/>
      <c r="AE424" s="13"/>
      <c r="AF424" s="13"/>
    </row>
    <row r="425" spans="1:32">
      <c r="A425" s="1" t="s">
        <v>879</v>
      </c>
      <c r="B425">
        <v>494.61100659707</v>
      </c>
      <c r="C425">
        <v>155.76770996090599</v>
      </c>
      <c r="D425">
        <v>5426.2517666666672</v>
      </c>
      <c r="E425">
        <v>5652.1773333333331</v>
      </c>
      <c r="F425">
        <v>225.92556666666647</v>
      </c>
      <c r="G425">
        <v>0.55198285101822075</v>
      </c>
      <c r="H425">
        <v>6.3982854076794622</v>
      </c>
      <c r="I425">
        <v>6.1602168237117706E-2</v>
      </c>
      <c r="J425">
        <v>2.068658616000946E-2</v>
      </c>
      <c r="K425">
        <v>0</v>
      </c>
      <c r="L425">
        <f t="shared" si="24"/>
        <v>2.3539653802518083</v>
      </c>
      <c r="M425" t="s">
        <v>605</v>
      </c>
      <c r="N425">
        <v>321</v>
      </c>
      <c r="O425">
        <v>4</v>
      </c>
      <c r="P425">
        <v>966</v>
      </c>
      <c r="Q425">
        <v>103.974557425797</v>
      </c>
      <c r="R425">
        <v>131.23028717348399</v>
      </c>
      <c r="S425" t="s">
        <v>880</v>
      </c>
      <c r="T425">
        <v>2</v>
      </c>
      <c r="U425">
        <v>244.887963756581</v>
      </c>
      <c r="V425">
        <v>2.4381657891514599</v>
      </c>
      <c r="W425">
        <v>8074.2763999999997</v>
      </c>
      <c r="X425">
        <v>1.6252885171664899E-2</v>
      </c>
      <c r="Y425">
        <v>12.19525814056396</v>
      </c>
      <c r="Z425">
        <v>13.270382881164551</v>
      </c>
      <c r="AA425">
        <f t="shared" si="25"/>
        <v>-0.34033699337703682</v>
      </c>
      <c r="AB425">
        <f t="shared" si="26"/>
        <v>-0.13499376048724715</v>
      </c>
      <c r="AC425" s="13">
        <f t="shared" si="27"/>
        <v>-0.35303673996459967</v>
      </c>
      <c r="AD425" s="13"/>
      <c r="AE425" s="13"/>
      <c r="AF425" s="13"/>
    </row>
    <row r="426" spans="1:32">
      <c r="A426" s="1" t="s">
        <v>881</v>
      </c>
      <c r="B426">
        <v>803.02453951295411</v>
      </c>
      <c r="C426">
        <v>72.651116103826382</v>
      </c>
      <c r="D426">
        <v>802.43507666666665</v>
      </c>
      <c r="E426">
        <v>1029.1093100000001</v>
      </c>
      <c r="F426">
        <v>226.67423333333332</v>
      </c>
      <c r="G426">
        <v>0.53229166666666672</v>
      </c>
      <c r="H426">
        <v>19.112038439193693</v>
      </c>
      <c r="I426">
        <v>13.196533432670009</v>
      </c>
      <c r="J426">
        <v>3.1025981376529934</v>
      </c>
      <c r="K426">
        <v>0</v>
      </c>
      <c r="L426">
        <f t="shared" si="24"/>
        <v>2.3554021555162699</v>
      </c>
      <c r="M426" t="s">
        <v>605</v>
      </c>
      <c r="N426">
        <v>330</v>
      </c>
      <c r="O426">
        <v>5</v>
      </c>
      <c r="P426">
        <v>993</v>
      </c>
      <c r="Q426">
        <v>126.43431831989</v>
      </c>
      <c r="R426">
        <v>159.57761506745399</v>
      </c>
      <c r="S426" t="s">
        <v>882</v>
      </c>
      <c r="T426">
        <v>0</v>
      </c>
      <c r="U426">
        <v>0</v>
      </c>
      <c r="V426">
        <v>0</v>
      </c>
      <c r="W426">
        <v>1410.396</v>
      </c>
      <c r="X426">
        <v>0.11314383695604199</v>
      </c>
      <c r="Y426">
        <v>12.456559181213381</v>
      </c>
      <c r="Z426">
        <v>12.807864189147949</v>
      </c>
      <c r="AA426">
        <f t="shared" si="25"/>
        <v>-0.3402875951756576</v>
      </c>
      <c r="AB426">
        <f t="shared" si="26"/>
        <v>1.174070517697789</v>
      </c>
      <c r="AC426" s="13">
        <f t="shared" si="27"/>
        <v>-0.33124548352346067</v>
      </c>
      <c r="AD426" s="13"/>
      <c r="AE426" s="13"/>
      <c r="AF426" s="13"/>
    </row>
    <row r="427" spans="1:32">
      <c r="A427" s="1" t="s">
        <v>883</v>
      </c>
      <c r="B427">
        <v>866.26402112819881</v>
      </c>
      <c r="C427">
        <v>197.99220262141671</v>
      </c>
      <c r="D427">
        <v>228.28008333333332</v>
      </c>
      <c r="E427">
        <v>456.49520666666666</v>
      </c>
      <c r="F427">
        <v>228.21512333333331</v>
      </c>
      <c r="G427">
        <v>0.46047008547008544</v>
      </c>
      <c r="H427">
        <v>21.187823443091151</v>
      </c>
      <c r="I427">
        <v>0.42206346047533599</v>
      </c>
      <c r="J427">
        <v>0.1602277065196841</v>
      </c>
      <c r="K427">
        <v>0</v>
      </c>
      <c r="L427">
        <f t="shared" si="24"/>
        <v>2.3583444208121991</v>
      </c>
      <c r="M427" t="s">
        <v>605</v>
      </c>
      <c r="N427">
        <v>322</v>
      </c>
      <c r="O427">
        <v>0</v>
      </c>
      <c r="P427">
        <v>969</v>
      </c>
      <c r="Q427">
        <v>0</v>
      </c>
      <c r="R427">
        <v>0</v>
      </c>
      <c r="S427" t="s">
        <v>884</v>
      </c>
      <c r="T427">
        <v>0</v>
      </c>
      <c r="U427">
        <v>0</v>
      </c>
      <c r="W427">
        <v>472.59377999999998</v>
      </c>
      <c r="X427">
        <v>0</v>
      </c>
      <c r="Y427">
        <v>10.517336845397949</v>
      </c>
      <c r="Z427">
        <v>11.55976581573486</v>
      </c>
      <c r="AA427">
        <f t="shared" si="25"/>
        <v>-0.34018592483568871</v>
      </c>
      <c r="AB427">
        <f t="shared" si="26"/>
        <v>1.3878025283054161</v>
      </c>
      <c r="AC427" s="13">
        <f t="shared" si="27"/>
        <v>-0.45391654251028785</v>
      </c>
      <c r="AD427" s="13"/>
      <c r="AE427" s="13"/>
      <c r="AF427" s="13"/>
    </row>
    <row r="428" spans="1:32">
      <c r="A428" s="1" t="s">
        <v>885</v>
      </c>
      <c r="B428">
        <v>322.50619655167276</v>
      </c>
      <c r="C428">
        <v>132.63273108746196</v>
      </c>
      <c r="D428">
        <v>0</v>
      </c>
      <c r="E428">
        <v>228.61829333333333</v>
      </c>
      <c r="F428">
        <v>228.61829333333333</v>
      </c>
      <c r="G428">
        <v>0.47257383966244726</v>
      </c>
      <c r="H428">
        <v>2.2957984137629142</v>
      </c>
      <c r="I428">
        <v>0.10012279070232603</v>
      </c>
      <c r="J428">
        <v>3.2638381214978675E-2</v>
      </c>
      <c r="K428">
        <v>0</v>
      </c>
      <c r="L428">
        <f t="shared" si="24"/>
        <v>2.3591109783596078</v>
      </c>
      <c r="M428" t="s">
        <v>605</v>
      </c>
      <c r="N428">
        <v>326</v>
      </c>
      <c r="O428">
        <v>0</v>
      </c>
      <c r="P428">
        <v>981</v>
      </c>
      <c r="Q428">
        <v>0</v>
      </c>
      <c r="R428">
        <v>0</v>
      </c>
      <c r="S428" t="s">
        <v>886</v>
      </c>
      <c r="T428">
        <v>0</v>
      </c>
      <c r="U428">
        <v>0</v>
      </c>
      <c r="W428">
        <v>196.20366000000001</v>
      </c>
      <c r="X428">
        <v>0</v>
      </c>
      <c r="Y428">
        <v>10.829549789428709</v>
      </c>
      <c r="Z428">
        <v>13.30355262756348</v>
      </c>
      <c r="AA428">
        <f t="shared" si="25"/>
        <v>-0.34015932304648561</v>
      </c>
      <c r="AB428">
        <f t="shared" si="26"/>
        <v>-0.55740397737150871</v>
      </c>
      <c r="AC428" s="13">
        <f t="shared" si="27"/>
        <v>-0.45391654251028785</v>
      </c>
      <c r="AD428" s="13"/>
      <c r="AE428" s="13"/>
      <c r="AF428" s="13"/>
    </row>
    <row r="429" spans="1:32">
      <c r="A429" s="1" t="s">
        <v>887</v>
      </c>
      <c r="B429">
        <v>736.13803864991417</v>
      </c>
      <c r="C429">
        <v>293.80996380995771</v>
      </c>
      <c r="D429">
        <v>190.40664673333333</v>
      </c>
      <c r="E429">
        <v>429.05981666666668</v>
      </c>
      <c r="F429">
        <v>238.65316993333337</v>
      </c>
      <c r="G429">
        <v>0.43969298245614036</v>
      </c>
      <c r="H429">
        <v>15.03715457515051</v>
      </c>
      <c r="I429">
        <v>0.11178376477410164</v>
      </c>
      <c r="J429">
        <v>3.4820816386420823E-2</v>
      </c>
      <c r="K429">
        <v>0</v>
      </c>
      <c r="L429">
        <f t="shared" si="24"/>
        <v>2.3777672072981635</v>
      </c>
      <c r="M429" t="s">
        <v>605</v>
      </c>
      <c r="N429">
        <v>314</v>
      </c>
      <c r="O429">
        <v>39</v>
      </c>
      <c r="P429">
        <v>945</v>
      </c>
      <c r="Q429">
        <v>1036.27975567711</v>
      </c>
      <c r="R429">
        <v>1307.92852882906</v>
      </c>
      <c r="S429" t="s">
        <v>888</v>
      </c>
      <c r="T429">
        <v>0</v>
      </c>
      <c r="U429">
        <v>0</v>
      </c>
      <c r="V429">
        <v>0</v>
      </c>
      <c r="W429">
        <v>755.81690000000003</v>
      </c>
      <c r="X429">
        <v>1.7304833073050601</v>
      </c>
      <c r="AA429">
        <f t="shared" si="25"/>
        <v>-0.33949720614296408</v>
      </c>
      <c r="AB429">
        <f t="shared" si="26"/>
        <v>0.7545024412258633</v>
      </c>
      <c r="AC429" s="13">
        <f t="shared" si="27"/>
        <v>0.55151882286173792</v>
      </c>
      <c r="AD429" s="13"/>
      <c r="AE429" s="13"/>
      <c r="AF429" s="13"/>
    </row>
    <row r="430" spans="1:32">
      <c r="A430" s="1" t="s">
        <v>889</v>
      </c>
      <c r="B430">
        <v>713.55388003113001</v>
      </c>
      <c r="C430">
        <v>27.736473115342573</v>
      </c>
      <c r="D430">
        <v>496.780418</v>
      </c>
      <c r="E430">
        <v>739.68366666666668</v>
      </c>
      <c r="F430">
        <v>242.90324866666671</v>
      </c>
      <c r="G430">
        <v>0.42094017094017089</v>
      </c>
      <c r="H430">
        <v>17.886551600848481</v>
      </c>
      <c r="I430">
        <v>8.3029988676338604</v>
      </c>
      <c r="J430">
        <v>1.2453734142220383</v>
      </c>
      <c r="K430">
        <v>0</v>
      </c>
      <c r="L430">
        <f t="shared" si="24"/>
        <v>2.3854333232389391</v>
      </c>
      <c r="M430" t="s">
        <v>605</v>
      </c>
      <c r="N430">
        <v>322</v>
      </c>
      <c r="O430">
        <v>4</v>
      </c>
      <c r="P430">
        <v>969</v>
      </c>
      <c r="Q430">
        <v>103.652654771228</v>
      </c>
      <c r="R430">
        <v>130.824001454681</v>
      </c>
      <c r="S430" t="s">
        <v>890</v>
      </c>
      <c r="T430">
        <v>0</v>
      </c>
      <c r="U430">
        <v>0</v>
      </c>
      <c r="V430">
        <v>0</v>
      </c>
      <c r="W430">
        <v>1498.5413000000001</v>
      </c>
      <c r="X430">
        <v>8.7300898183240605E-2</v>
      </c>
      <c r="AA430">
        <f t="shared" si="25"/>
        <v>-0.33921677927945515</v>
      </c>
      <c r="AB430">
        <f t="shared" si="26"/>
        <v>1.0478889692999931</v>
      </c>
      <c r="AC430" s="13">
        <f t="shared" si="27"/>
        <v>-0.35334906133471011</v>
      </c>
      <c r="AD430" s="13"/>
      <c r="AE430" s="13"/>
      <c r="AF430" s="13"/>
    </row>
    <row r="431" spans="1:32">
      <c r="A431" s="1" t="s">
        <v>891</v>
      </c>
      <c r="B431">
        <v>1048.7563370154148</v>
      </c>
      <c r="C431">
        <v>186.03680857094446</v>
      </c>
      <c r="D431">
        <v>0</v>
      </c>
      <c r="E431">
        <v>244.04655000000002</v>
      </c>
      <c r="F431">
        <v>244.04655000000002</v>
      </c>
      <c r="G431">
        <v>0.48306010928961751</v>
      </c>
      <c r="H431">
        <v>20.989535830288471</v>
      </c>
      <c r="I431">
        <v>15.06239060348357</v>
      </c>
      <c r="J431">
        <v>7.1997272451609371</v>
      </c>
      <c r="K431">
        <v>0</v>
      </c>
      <c r="L431">
        <f t="shared" si="24"/>
        <v>2.3874726725680242</v>
      </c>
      <c r="M431" t="s">
        <v>605</v>
      </c>
      <c r="N431">
        <v>315</v>
      </c>
      <c r="O431">
        <v>0</v>
      </c>
      <c r="P431">
        <v>948</v>
      </c>
      <c r="Q431">
        <v>0</v>
      </c>
      <c r="R431">
        <v>0</v>
      </c>
      <c r="S431" t="s">
        <v>892</v>
      </c>
      <c r="T431">
        <v>0</v>
      </c>
      <c r="U431">
        <v>0</v>
      </c>
      <c r="W431">
        <v>179.14336</v>
      </c>
      <c r="X431">
        <v>0</v>
      </c>
      <c r="AA431">
        <f t="shared" si="25"/>
        <v>-0.33914134246355859</v>
      </c>
      <c r="AB431">
        <f t="shared" si="26"/>
        <v>1.3673859581484245</v>
      </c>
      <c r="AC431" s="13">
        <f t="shared" si="27"/>
        <v>-0.45391654251028785</v>
      </c>
      <c r="AD431" s="13"/>
      <c r="AE431" s="13"/>
      <c r="AF431" s="13"/>
    </row>
    <row r="432" spans="1:32">
      <c r="A432" s="1" t="s">
        <v>893</v>
      </c>
      <c r="B432">
        <v>1057.4215321524632</v>
      </c>
      <c r="C432">
        <v>181.00099196768645</v>
      </c>
      <c r="D432">
        <v>83.759164733333336</v>
      </c>
      <c r="E432">
        <v>334.84777333333329</v>
      </c>
      <c r="F432">
        <v>251.08860860000001</v>
      </c>
      <c r="G432">
        <v>0.50974025974025972</v>
      </c>
      <c r="H432">
        <v>21.571389413573673</v>
      </c>
      <c r="I432">
        <v>14.271640931482453</v>
      </c>
      <c r="J432">
        <v>1.5731968839556438</v>
      </c>
      <c r="K432">
        <v>0</v>
      </c>
      <c r="L432">
        <f t="shared" si="24"/>
        <v>2.3998270100670349</v>
      </c>
      <c r="M432" t="s">
        <v>605</v>
      </c>
      <c r="N432">
        <v>318</v>
      </c>
      <c r="O432">
        <v>3</v>
      </c>
      <c r="P432">
        <v>957</v>
      </c>
      <c r="Q432">
        <v>78.7142809352043</v>
      </c>
      <c r="R432">
        <v>99.348320853907495</v>
      </c>
      <c r="S432" t="s">
        <v>894</v>
      </c>
      <c r="T432">
        <v>0</v>
      </c>
      <c r="U432">
        <v>0</v>
      </c>
      <c r="V432">
        <v>0</v>
      </c>
      <c r="W432">
        <v>654.01559999999995</v>
      </c>
      <c r="X432">
        <v>0.151905124058061</v>
      </c>
      <c r="Y432">
        <v>13.03894710540771</v>
      </c>
      <c r="Z432">
        <v>13.462900161743161</v>
      </c>
      <c r="AA432">
        <f t="shared" si="25"/>
        <v>-0.33867669638762687</v>
      </c>
      <c r="AB432">
        <f t="shared" si="26"/>
        <v>1.4272961781381155</v>
      </c>
      <c r="AC432" s="13">
        <f t="shared" si="27"/>
        <v>-0.37754515594356719</v>
      </c>
      <c r="AD432" s="13"/>
      <c r="AE432" s="13"/>
      <c r="AF432" s="13"/>
    </row>
    <row r="433" spans="1:32">
      <c r="A433" s="1" t="s">
        <v>895</v>
      </c>
      <c r="B433">
        <v>1138.6398493314141</v>
      </c>
      <c r="C433">
        <v>386.93033893055883</v>
      </c>
      <c r="D433">
        <v>2.2019705666666667</v>
      </c>
      <c r="E433">
        <v>257.32802466666664</v>
      </c>
      <c r="F433">
        <v>255.1260541</v>
      </c>
      <c r="G433">
        <v>0.49651741293532337</v>
      </c>
      <c r="H433">
        <v>19.243842493613055</v>
      </c>
      <c r="I433">
        <v>7.0384577270032736E-2</v>
      </c>
      <c r="J433">
        <v>3.6635973910134907E-2</v>
      </c>
      <c r="K433">
        <v>0</v>
      </c>
      <c r="L433">
        <f t="shared" si="24"/>
        <v>2.4067548120949946</v>
      </c>
      <c r="M433" t="s">
        <v>605</v>
      </c>
      <c r="N433">
        <v>345</v>
      </c>
      <c r="O433">
        <v>31</v>
      </c>
      <c r="P433">
        <v>1038</v>
      </c>
      <c r="Q433">
        <v>749.90898282103603</v>
      </c>
      <c r="R433">
        <v>946.48896428159003</v>
      </c>
      <c r="S433" t="s">
        <v>896</v>
      </c>
      <c r="T433">
        <v>0</v>
      </c>
      <c r="U433">
        <v>0</v>
      </c>
      <c r="V433">
        <v>0</v>
      </c>
      <c r="W433">
        <v>125.11610400000001</v>
      </c>
      <c r="X433">
        <v>7.5648852067963199</v>
      </c>
      <c r="Y433">
        <v>9.0299282073974609</v>
      </c>
      <c r="Z433">
        <v>12.659528732299799</v>
      </c>
      <c r="AA433">
        <f t="shared" si="25"/>
        <v>-0.33841029939849032</v>
      </c>
      <c r="AB433">
        <f t="shared" si="26"/>
        <v>1.1876416464536064</v>
      </c>
      <c r="AC433" s="13">
        <f t="shared" si="27"/>
        <v>0.27367174434742003</v>
      </c>
      <c r="AD433" s="13"/>
      <c r="AE433" s="13"/>
      <c r="AF433" s="13"/>
    </row>
    <row r="434" spans="1:32">
      <c r="A434" s="1" t="s">
        <v>897</v>
      </c>
      <c r="B434">
        <v>1081.2283958406358</v>
      </c>
      <c r="C434">
        <v>151.54086257640955</v>
      </c>
      <c r="D434">
        <v>124.71244033333335</v>
      </c>
      <c r="E434">
        <v>393.75072</v>
      </c>
      <c r="F434">
        <v>269.03827966666665</v>
      </c>
      <c r="G434">
        <v>0.50424628450106157</v>
      </c>
      <c r="H434">
        <v>21.545474712896336</v>
      </c>
      <c r="I434">
        <v>9.262603145117039E-2</v>
      </c>
      <c r="J434">
        <v>3.5026558350481907E-2</v>
      </c>
      <c r="K434">
        <v>0</v>
      </c>
      <c r="L434">
        <f t="shared" si="24"/>
        <v>2.429814077270962</v>
      </c>
      <c r="M434" t="s">
        <v>605</v>
      </c>
      <c r="N434">
        <v>324</v>
      </c>
      <c r="O434">
        <v>5</v>
      </c>
      <c r="P434">
        <v>975</v>
      </c>
      <c r="Q434">
        <v>128.76849035041101</v>
      </c>
      <c r="R434">
        <v>162.52366334562299</v>
      </c>
      <c r="S434" t="s">
        <v>898</v>
      </c>
      <c r="T434">
        <v>0</v>
      </c>
      <c r="U434">
        <v>0</v>
      </c>
      <c r="V434">
        <v>0</v>
      </c>
      <c r="W434">
        <v>483.40114999999997</v>
      </c>
      <c r="X434">
        <v>0.33620868164178502</v>
      </c>
      <c r="Y434">
        <v>13.21389198303223</v>
      </c>
      <c r="Z434">
        <v>12.09561920166016</v>
      </c>
      <c r="AA434">
        <f t="shared" si="25"/>
        <v>-0.33749234892630475</v>
      </c>
      <c r="AB434">
        <f t="shared" si="26"/>
        <v>1.4246278858681249</v>
      </c>
      <c r="AC434" s="13">
        <f t="shared" si="27"/>
        <v>-0.32898078704985778</v>
      </c>
      <c r="AD434" s="13"/>
      <c r="AE434" s="13"/>
      <c r="AF434" s="13"/>
    </row>
    <row r="435" spans="1:32">
      <c r="A435" s="1" t="s">
        <v>899</v>
      </c>
      <c r="B435">
        <v>810.12567690512424</v>
      </c>
      <c r="C435">
        <v>163.31957492626609</v>
      </c>
      <c r="D435">
        <v>79.271256666666673</v>
      </c>
      <c r="E435">
        <v>364.08755666666667</v>
      </c>
      <c r="F435">
        <v>284.81630000000001</v>
      </c>
      <c r="G435">
        <v>0.46666666666666667</v>
      </c>
      <c r="H435">
        <v>17.478030723744066</v>
      </c>
      <c r="I435">
        <v>1.8981620603925051</v>
      </c>
      <c r="J435">
        <v>0.83510399368447363</v>
      </c>
      <c r="K435">
        <v>0</v>
      </c>
      <c r="L435">
        <f t="shared" si="24"/>
        <v>2.4545648402930702</v>
      </c>
      <c r="M435" t="s">
        <v>605</v>
      </c>
      <c r="N435">
        <v>320</v>
      </c>
      <c r="O435">
        <v>6</v>
      </c>
      <c r="P435">
        <v>963</v>
      </c>
      <c r="Q435">
        <v>156.44769855657401</v>
      </c>
      <c r="R435">
        <v>197.458656401224</v>
      </c>
      <c r="S435" t="s">
        <v>900</v>
      </c>
      <c r="T435">
        <v>0</v>
      </c>
      <c r="U435">
        <v>0</v>
      </c>
      <c r="V435">
        <v>0</v>
      </c>
      <c r="W435">
        <v>503.30228</v>
      </c>
      <c r="X435">
        <v>0.39232617106607198</v>
      </c>
      <c r="Y435">
        <v>9.7591972351074219</v>
      </c>
      <c r="Z435">
        <v>12.502034187316889</v>
      </c>
      <c r="AA435">
        <f t="shared" si="25"/>
        <v>-0.33645129038784632</v>
      </c>
      <c r="AB435">
        <f t="shared" si="26"/>
        <v>1.0058258518409218</v>
      </c>
      <c r="AC435" s="13">
        <f t="shared" si="27"/>
        <v>-0.30212543774527945</v>
      </c>
      <c r="AD435" s="13"/>
      <c r="AE435" s="13"/>
      <c r="AF435" s="13"/>
    </row>
    <row r="436" spans="1:32">
      <c r="A436" s="1" t="s">
        <v>901</v>
      </c>
      <c r="B436">
        <v>1017.7755110688872</v>
      </c>
      <c r="C436">
        <v>206.58153559077348</v>
      </c>
      <c r="D436">
        <v>484.57089666666667</v>
      </c>
      <c r="E436">
        <v>770.48261000000002</v>
      </c>
      <c r="F436">
        <v>285.91171333333335</v>
      </c>
      <c r="G436">
        <v>0.48455804046858358</v>
      </c>
      <c r="H436">
        <v>16.809467351041558</v>
      </c>
      <c r="I436">
        <v>3.5549461621525396</v>
      </c>
      <c r="J436">
        <v>0.60934300490869375</v>
      </c>
      <c r="K436">
        <v>0</v>
      </c>
      <c r="L436">
        <f t="shared" si="24"/>
        <v>2.4562319480541279</v>
      </c>
      <c r="M436" t="s">
        <v>605</v>
      </c>
      <c r="N436">
        <v>323</v>
      </c>
      <c r="O436">
        <v>34</v>
      </c>
      <c r="P436">
        <v>972</v>
      </c>
      <c r="Q436">
        <v>878.32828294570595</v>
      </c>
      <c r="R436">
        <v>1108.57190121551</v>
      </c>
      <c r="S436" t="s">
        <v>902</v>
      </c>
      <c r="T436">
        <v>0</v>
      </c>
      <c r="U436">
        <v>0</v>
      </c>
      <c r="V436">
        <v>0</v>
      </c>
      <c r="W436">
        <v>1387.6581000000001</v>
      </c>
      <c r="X436">
        <v>0.79887971051047402</v>
      </c>
      <c r="Y436">
        <v>11.90622520446777</v>
      </c>
      <c r="Z436">
        <v>11.3607292175293</v>
      </c>
      <c r="AA436">
        <f t="shared" si="25"/>
        <v>-0.33637901329732961</v>
      </c>
      <c r="AB436">
        <f t="shared" si="26"/>
        <v>0.9369876081894698</v>
      </c>
      <c r="AC436" s="13">
        <f t="shared" si="27"/>
        <v>0.39826870306857298</v>
      </c>
      <c r="AD436" s="13"/>
      <c r="AE436" s="13"/>
      <c r="AF436" s="13"/>
    </row>
    <row r="437" spans="1:32">
      <c r="A437" s="1" t="s">
        <v>903</v>
      </c>
      <c r="B437">
        <v>889.78866973236643</v>
      </c>
      <c r="C437">
        <v>137.11770102028265</v>
      </c>
      <c r="D437">
        <v>16.516376333333334</v>
      </c>
      <c r="E437">
        <v>311.02725333333331</v>
      </c>
      <c r="F437">
        <v>294.51087699999999</v>
      </c>
      <c r="G437">
        <v>0.50654582074521648</v>
      </c>
      <c r="H437">
        <v>21.537183045981436</v>
      </c>
      <c r="I437">
        <v>8.2384773561058375E-2</v>
      </c>
      <c r="J437">
        <v>4.2073295024503125E-2</v>
      </c>
      <c r="K437">
        <v>0</v>
      </c>
      <c r="L437">
        <f t="shared" si="24"/>
        <v>2.4691013389664058</v>
      </c>
      <c r="M437" t="s">
        <v>605</v>
      </c>
      <c r="N437">
        <v>341</v>
      </c>
      <c r="O437">
        <v>6</v>
      </c>
      <c r="P437">
        <v>1026</v>
      </c>
      <c r="Q437">
        <v>146.84126092590699</v>
      </c>
      <c r="R437">
        <v>185.33400206079801</v>
      </c>
      <c r="S437" t="s">
        <v>904</v>
      </c>
      <c r="T437">
        <v>0</v>
      </c>
      <c r="U437">
        <v>0</v>
      </c>
      <c r="V437">
        <v>0</v>
      </c>
      <c r="W437">
        <v>321.31909999999999</v>
      </c>
      <c r="X437">
        <v>0.57679111531433402</v>
      </c>
      <c r="Y437">
        <v>8.9751796722412109</v>
      </c>
      <c r="Z437">
        <v>12.764613151550289</v>
      </c>
      <c r="AA437">
        <f t="shared" si="25"/>
        <v>-0.33581162698588779</v>
      </c>
      <c r="AB437">
        <f t="shared" si="26"/>
        <v>1.4237741391469168</v>
      </c>
      <c r="AC437" s="13">
        <f t="shared" si="27"/>
        <v>-0.31144594417821869</v>
      </c>
      <c r="AD437" s="13"/>
      <c r="AE437" s="13"/>
      <c r="AF437" s="13"/>
    </row>
    <row r="438" spans="1:32">
      <c r="A438" s="1" t="s">
        <v>905</v>
      </c>
      <c r="B438">
        <v>919.91894723215864</v>
      </c>
      <c r="C438">
        <v>100.43798543781756</v>
      </c>
      <c r="D438">
        <v>0.66059096666666661</v>
      </c>
      <c r="E438">
        <v>297.17032999999998</v>
      </c>
      <c r="F438">
        <v>296.50973903333335</v>
      </c>
      <c r="G438">
        <v>0.58679446219382325</v>
      </c>
      <c r="H438">
        <v>18.93046354291587</v>
      </c>
      <c r="I438">
        <v>6.756539800340973E-2</v>
      </c>
      <c r="J438">
        <v>2.5946129177965217E-2</v>
      </c>
      <c r="K438">
        <v>0</v>
      </c>
      <c r="L438">
        <f t="shared" si="24"/>
        <v>2.4720389625872055</v>
      </c>
      <c r="M438" t="s">
        <v>605</v>
      </c>
      <c r="N438">
        <v>323</v>
      </c>
      <c r="O438">
        <v>8</v>
      </c>
      <c r="P438">
        <v>972</v>
      </c>
      <c r="Q438">
        <v>206.665478340166</v>
      </c>
      <c r="R438">
        <v>260.840447344827</v>
      </c>
      <c r="S438" t="s">
        <v>906</v>
      </c>
      <c r="T438">
        <v>0</v>
      </c>
      <c r="U438">
        <v>0</v>
      </c>
      <c r="V438">
        <v>0</v>
      </c>
      <c r="W438">
        <v>105.21107499999999</v>
      </c>
      <c r="X438">
        <v>2.4792109323550502</v>
      </c>
      <c r="Y438">
        <v>11.35589599609375</v>
      </c>
      <c r="Z438">
        <v>11.734706878662109</v>
      </c>
      <c r="AA438">
        <f t="shared" si="25"/>
        <v>-0.33567973893256808</v>
      </c>
      <c r="AB438">
        <f t="shared" si="26"/>
        <v>1.1553747627980935</v>
      </c>
      <c r="AC438" s="13">
        <f t="shared" si="27"/>
        <v>-0.25340236707996772</v>
      </c>
      <c r="AD438" s="13"/>
      <c r="AE438" s="13"/>
      <c r="AF438" s="13"/>
    </row>
    <row r="439" spans="1:32">
      <c r="A439" s="1" t="s">
        <v>907</v>
      </c>
      <c r="B439">
        <v>886.56008297129392</v>
      </c>
      <c r="C439">
        <v>93.909458646283881</v>
      </c>
      <c r="D439">
        <v>30.036364666666667</v>
      </c>
      <c r="E439">
        <v>328.29568666666665</v>
      </c>
      <c r="F439">
        <v>298.259322</v>
      </c>
      <c r="G439">
        <v>0.53354632587859419</v>
      </c>
      <c r="H439">
        <v>20.51676371381652</v>
      </c>
      <c r="I439">
        <v>20.694024259306357</v>
      </c>
      <c r="J439">
        <v>2.22855264238384</v>
      </c>
      <c r="K439">
        <v>0</v>
      </c>
      <c r="L439">
        <f t="shared" si="24"/>
        <v>2.474594026290049</v>
      </c>
      <c r="M439" t="s">
        <v>605</v>
      </c>
      <c r="N439">
        <v>323</v>
      </c>
      <c r="O439">
        <v>18</v>
      </c>
      <c r="P439">
        <v>972</v>
      </c>
      <c r="Q439">
        <v>464.997326265374</v>
      </c>
      <c r="R439">
        <v>586.89100652586103</v>
      </c>
      <c r="S439" t="s">
        <v>908</v>
      </c>
      <c r="T439">
        <v>0</v>
      </c>
      <c r="U439">
        <v>0</v>
      </c>
      <c r="V439">
        <v>0</v>
      </c>
      <c r="W439">
        <v>514.6798</v>
      </c>
      <c r="X439">
        <v>1.1403031681559299</v>
      </c>
      <c r="Y439">
        <v>12.847330093383791</v>
      </c>
      <c r="Z439">
        <v>13.20517539978027</v>
      </c>
      <c r="AA439">
        <f t="shared" si="25"/>
        <v>-0.33556429870320409</v>
      </c>
      <c r="AB439">
        <f t="shared" si="26"/>
        <v>1.3187072487334079</v>
      </c>
      <c r="AC439" s="13">
        <f t="shared" si="27"/>
        <v>-2.7596477920671584E-3</v>
      </c>
      <c r="AD439" s="13"/>
      <c r="AE439" s="13"/>
      <c r="AF439" s="13"/>
    </row>
    <row r="440" spans="1:32">
      <c r="A440" s="1" t="s">
        <v>909</v>
      </c>
      <c r="B440">
        <v>882.16211238592189</v>
      </c>
      <c r="C440">
        <v>160.29591238451908</v>
      </c>
      <c r="D440">
        <v>165.84641733333333</v>
      </c>
      <c r="E440">
        <v>493.9728566666667</v>
      </c>
      <c r="F440">
        <v>328.12643933333334</v>
      </c>
      <c r="G440">
        <v>0.38205980066445178</v>
      </c>
      <c r="H440">
        <v>21.144423976232378</v>
      </c>
      <c r="I440">
        <v>22.113762108602476</v>
      </c>
      <c r="J440">
        <v>10.688256877816015</v>
      </c>
      <c r="K440">
        <v>0</v>
      </c>
      <c r="L440">
        <f t="shared" si="24"/>
        <v>2.5160412257958327</v>
      </c>
      <c r="M440" t="s">
        <v>605</v>
      </c>
      <c r="N440">
        <v>311</v>
      </c>
      <c r="O440">
        <v>17</v>
      </c>
      <c r="P440">
        <v>936</v>
      </c>
      <c r="Q440">
        <v>456.05506999103898</v>
      </c>
      <c r="R440">
        <v>575.60464101574803</v>
      </c>
      <c r="S440" t="s">
        <v>910</v>
      </c>
      <c r="T440">
        <v>0</v>
      </c>
      <c r="U440">
        <v>0</v>
      </c>
      <c r="V440">
        <v>0</v>
      </c>
      <c r="W440">
        <v>639.79539999999997</v>
      </c>
      <c r="X440">
        <v>0.89966986479700894</v>
      </c>
      <c r="Y440">
        <v>12.934379577636721</v>
      </c>
      <c r="Z440">
        <v>11.72897529602051</v>
      </c>
      <c r="AA440">
        <f t="shared" si="25"/>
        <v>-0.33359361943786459</v>
      </c>
      <c r="AB440">
        <f t="shared" si="26"/>
        <v>1.3833339271287004</v>
      </c>
      <c r="AC440" s="13">
        <f t="shared" si="27"/>
        <v>-1.1435741921264592E-2</v>
      </c>
      <c r="AD440" s="13"/>
      <c r="AE440" s="13"/>
      <c r="AF440" s="13"/>
    </row>
    <row r="441" spans="1:32">
      <c r="A441" s="1" t="s">
        <v>911</v>
      </c>
      <c r="B441">
        <v>910.84903019253932</v>
      </c>
      <c r="C441">
        <v>109.42715674215043</v>
      </c>
      <c r="D441">
        <v>21.390774199999999</v>
      </c>
      <c r="E441">
        <v>360.15270000000004</v>
      </c>
      <c r="F441">
        <v>338.76192580000003</v>
      </c>
      <c r="G441">
        <v>0.39384288747346075</v>
      </c>
      <c r="H441">
        <v>19.012882882679751</v>
      </c>
      <c r="I441">
        <v>0.17256558269874564</v>
      </c>
      <c r="J441">
        <v>3.9002530110102018E-2</v>
      </c>
      <c r="K441">
        <v>0</v>
      </c>
      <c r="L441">
        <f t="shared" si="24"/>
        <v>2.5298945930867864</v>
      </c>
      <c r="M441" t="s">
        <v>605</v>
      </c>
      <c r="N441">
        <v>324</v>
      </c>
      <c r="O441">
        <v>14</v>
      </c>
      <c r="P441">
        <v>975</v>
      </c>
      <c r="Q441">
        <v>360.55177298115098</v>
      </c>
      <c r="R441">
        <v>455.06625736774402</v>
      </c>
      <c r="S441" t="s">
        <v>912</v>
      </c>
      <c r="T441">
        <v>0</v>
      </c>
      <c r="U441">
        <v>0</v>
      </c>
      <c r="V441">
        <v>0</v>
      </c>
      <c r="W441">
        <v>295.15723000000003</v>
      </c>
      <c r="X441">
        <v>1.54177574226368</v>
      </c>
      <c r="Y441">
        <v>10.57679557800293</v>
      </c>
      <c r="Z441">
        <v>11.29798793792725</v>
      </c>
      <c r="AA441">
        <f t="shared" si="25"/>
        <v>-0.33289187335293968</v>
      </c>
      <c r="AB441">
        <f t="shared" si="26"/>
        <v>1.1638610227756985</v>
      </c>
      <c r="AC441" s="13">
        <f t="shared" si="27"/>
        <v>-0.10409642722108343</v>
      </c>
      <c r="AD441" s="13"/>
      <c r="AE441" s="13"/>
      <c r="AF441" s="13"/>
    </row>
    <row r="442" spans="1:32">
      <c r="A442" s="1" t="s">
        <v>913</v>
      </c>
      <c r="B442">
        <v>896.08614942225574</v>
      </c>
      <c r="C442">
        <v>105.38325989496541</v>
      </c>
      <c r="D442">
        <v>0</v>
      </c>
      <c r="E442">
        <v>344.0135433333333</v>
      </c>
      <c r="F442">
        <v>344.0135433333333</v>
      </c>
      <c r="G442">
        <v>0.44408945686900958</v>
      </c>
      <c r="H442">
        <v>21.286649896706194</v>
      </c>
      <c r="I442">
        <v>16.612424917196389</v>
      </c>
      <c r="J442">
        <v>2.1223415492988904</v>
      </c>
      <c r="K442">
        <v>0</v>
      </c>
      <c r="L442">
        <f t="shared" si="24"/>
        <v>2.5365755404760435</v>
      </c>
      <c r="M442" t="s">
        <v>605</v>
      </c>
      <c r="N442">
        <v>323</v>
      </c>
      <c r="O442">
        <v>0</v>
      </c>
      <c r="P442">
        <v>972</v>
      </c>
      <c r="Q442">
        <v>0</v>
      </c>
      <c r="R442">
        <v>0</v>
      </c>
      <c r="S442" t="s">
        <v>914</v>
      </c>
      <c r="T442">
        <v>0</v>
      </c>
      <c r="U442">
        <v>0</v>
      </c>
      <c r="W442">
        <v>159.23773</v>
      </c>
      <c r="X442">
        <v>0</v>
      </c>
      <c r="Y442">
        <v>13.335453033447269</v>
      </c>
      <c r="Z442">
        <v>11.738694190979</v>
      </c>
      <c r="AA442">
        <f t="shared" si="25"/>
        <v>-0.33254536338791929</v>
      </c>
      <c r="AB442">
        <f t="shared" si="26"/>
        <v>1.3979781373365563</v>
      </c>
      <c r="AC442" s="13">
        <f t="shared" si="27"/>
        <v>-0.45391654251028785</v>
      </c>
      <c r="AD442" s="13"/>
      <c r="AE442" s="13"/>
      <c r="AF442" s="13"/>
    </row>
    <row r="443" spans="1:32">
      <c r="A443" s="1" t="s">
        <v>915</v>
      </c>
      <c r="B443">
        <v>274.03195863985633</v>
      </c>
      <c r="C443">
        <v>153.26090760423918</v>
      </c>
      <c r="D443">
        <v>365.96372500000001</v>
      </c>
      <c r="E443">
        <v>714.01863666666668</v>
      </c>
      <c r="F443">
        <v>348.05491166666661</v>
      </c>
      <c r="G443">
        <v>0.46031746031746029</v>
      </c>
      <c r="H443">
        <v>1.3424348395716483</v>
      </c>
      <c r="I443">
        <v>21.49903063067099</v>
      </c>
      <c r="J443">
        <v>10.473131277260233</v>
      </c>
      <c r="K443">
        <v>5.4846829608207596E-12</v>
      </c>
      <c r="L443">
        <f t="shared" si="24"/>
        <v>2.5416477667986581</v>
      </c>
      <c r="M443" t="s">
        <v>605</v>
      </c>
      <c r="N443">
        <v>325</v>
      </c>
      <c r="O443">
        <v>54</v>
      </c>
      <c r="P443">
        <v>978</v>
      </c>
      <c r="Q443">
        <v>1386.43374579737</v>
      </c>
      <c r="R443">
        <v>1749.87134461084</v>
      </c>
      <c r="S443" t="s">
        <v>916</v>
      </c>
      <c r="T443">
        <v>0</v>
      </c>
      <c r="U443">
        <v>0</v>
      </c>
      <c r="V443">
        <v>0</v>
      </c>
      <c r="W443">
        <v>1137.4195999999999</v>
      </c>
      <c r="X443">
        <v>1.5384571750045799</v>
      </c>
      <c r="Y443">
        <v>9.6568775177001953</v>
      </c>
      <c r="Z443">
        <v>12.31192588806152</v>
      </c>
      <c r="AA443">
        <f t="shared" si="25"/>
        <v>-0.33227870756408429</v>
      </c>
      <c r="AB443">
        <f t="shared" si="26"/>
        <v>-0.65556651018169299</v>
      </c>
      <c r="AC443" s="13">
        <f t="shared" si="27"/>
        <v>0.89125064051458835</v>
      </c>
      <c r="AD443" s="13"/>
      <c r="AE443" s="13"/>
      <c r="AF443" s="13"/>
    </row>
    <row r="444" spans="1:32">
      <c r="A444" s="1" t="s">
        <v>917</v>
      </c>
      <c r="B444">
        <v>254.99013399469217</v>
      </c>
      <c r="C444">
        <v>111.97268056394105</v>
      </c>
      <c r="D444">
        <v>0</v>
      </c>
      <c r="E444">
        <v>350.62171000000006</v>
      </c>
      <c r="F444">
        <v>350.62171000000006</v>
      </c>
      <c r="G444">
        <v>0.47257383966244726</v>
      </c>
      <c r="H444">
        <v>1.6711936656574584</v>
      </c>
      <c r="I444">
        <v>17.858591078102179</v>
      </c>
      <c r="J444">
        <v>5.984633489312297</v>
      </c>
      <c r="K444">
        <v>5.5686692875478942E-132</v>
      </c>
      <c r="L444">
        <f t="shared" si="24"/>
        <v>2.5448388034899363</v>
      </c>
      <c r="M444" t="s">
        <v>605</v>
      </c>
      <c r="N444">
        <v>326</v>
      </c>
      <c r="O444">
        <v>0</v>
      </c>
      <c r="P444">
        <v>981</v>
      </c>
      <c r="Q444">
        <v>0</v>
      </c>
      <c r="R444">
        <v>0</v>
      </c>
      <c r="S444" t="s">
        <v>918</v>
      </c>
      <c r="T444">
        <v>0</v>
      </c>
      <c r="U444">
        <v>0</v>
      </c>
      <c r="W444">
        <v>233.16883999999999</v>
      </c>
      <c r="X444">
        <v>0</v>
      </c>
      <c r="Y444">
        <v>12.50424098968506</v>
      </c>
      <c r="Z444">
        <v>11.4157247543335</v>
      </c>
      <c r="AA444">
        <f t="shared" si="25"/>
        <v>-0.332109346182557</v>
      </c>
      <c r="AB444">
        <f t="shared" si="26"/>
        <v>-0.62171604649090007</v>
      </c>
      <c r="AC444" s="13">
        <f t="shared" si="27"/>
        <v>-0.45391654251028785</v>
      </c>
      <c r="AD444" s="13"/>
      <c r="AE444" s="13"/>
      <c r="AF444" s="13"/>
    </row>
    <row r="445" spans="1:32">
      <c r="A445" s="1" t="s">
        <v>919</v>
      </c>
      <c r="B445">
        <v>521.15147285113778</v>
      </c>
      <c r="C445">
        <v>196.55533798515799</v>
      </c>
      <c r="D445">
        <v>25.045309066666665</v>
      </c>
      <c r="E445">
        <v>412.74393666666668</v>
      </c>
      <c r="F445">
        <v>387.69862760000001</v>
      </c>
      <c r="G445">
        <v>0.4426751592356688</v>
      </c>
      <c r="H445">
        <v>17.685606098877056</v>
      </c>
      <c r="I445">
        <v>8.5217400048872571E-2</v>
      </c>
      <c r="J445">
        <v>4.4337723193526864E-2</v>
      </c>
      <c r="K445">
        <v>0</v>
      </c>
      <c r="L445">
        <f t="shared" si="24"/>
        <v>2.5884942636669939</v>
      </c>
      <c r="M445" t="s">
        <v>605</v>
      </c>
      <c r="N445">
        <v>324</v>
      </c>
      <c r="O445">
        <v>16</v>
      </c>
      <c r="P445">
        <v>975</v>
      </c>
      <c r="Q445">
        <v>412.05916912131602</v>
      </c>
      <c r="R445">
        <v>520.07572270599303</v>
      </c>
      <c r="S445" t="s">
        <v>920</v>
      </c>
      <c r="T445">
        <v>0</v>
      </c>
      <c r="U445">
        <v>0</v>
      </c>
      <c r="V445">
        <v>0</v>
      </c>
      <c r="W445">
        <v>514.68206999999995</v>
      </c>
      <c r="X445">
        <v>1.0104795815132901</v>
      </c>
      <c r="Y445">
        <v>13.666427612304689</v>
      </c>
      <c r="Z445">
        <v>11.890267372131349</v>
      </c>
      <c r="AA445">
        <f t="shared" si="25"/>
        <v>-0.32966295298292025</v>
      </c>
      <c r="AB445">
        <f t="shared" si="26"/>
        <v>1.0271987311114177</v>
      </c>
      <c r="AC445" s="13">
        <f t="shared" si="27"/>
        <v>-5.4122125036910766E-2</v>
      </c>
      <c r="AD445" s="13"/>
      <c r="AE445" s="13"/>
      <c r="AF445" s="13"/>
    </row>
    <row r="446" spans="1:32">
      <c r="A446" s="1" t="s">
        <v>921</v>
      </c>
      <c r="B446">
        <v>452.4157780049145</v>
      </c>
      <c r="C446">
        <v>210.74781955788191</v>
      </c>
      <c r="D446">
        <v>700.61495333333335</v>
      </c>
      <c r="E446">
        <v>1102.6286</v>
      </c>
      <c r="F446">
        <v>402.0136466666666</v>
      </c>
      <c r="G446">
        <v>0.5573248407643312</v>
      </c>
      <c r="H446">
        <v>7.5248137868472114</v>
      </c>
      <c r="I446">
        <v>7.6772247528553245E-2</v>
      </c>
      <c r="J446">
        <v>4.9405496247621805E-2</v>
      </c>
      <c r="K446">
        <v>0</v>
      </c>
      <c r="L446">
        <f t="shared" si="24"/>
        <v>2.6042407957994844</v>
      </c>
      <c r="M446" t="s">
        <v>605</v>
      </c>
      <c r="N446">
        <v>324</v>
      </c>
      <c r="O446">
        <v>37</v>
      </c>
      <c r="P446">
        <v>975</v>
      </c>
      <c r="Q446">
        <v>952.88682859304299</v>
      </c>
      <c r="R446">
        <v>1202.6751087576099</v>
      </c>
      <c r="S446" t="s">
        <v>922</v>
      </c>
      <c r="T446">
        <v>0</v>
      </c>
      <c r="U446">
        <v>0</v>
      </c>
      <c r="V446">
        <v>0</v>
      </c>
      <c r="W446">
        <v>1649.2475999999999</v>
      </c>
      <c r="X446">
        <v>0.72922653260651105</v>
      </c>
      <c r="Y446">
        <v>13.5157470703125</v>
      </c>
      <c r="Z446">
        <v>10.944197654724119</v>
      </c>
      <c r="AA446">
        <f t="shared" si="25"/>
        <v>-0.32871842556359232</v>
      </c>
      <c r="AB446">
        <f t="shared" si="26"/>
        <v>-1.9001412997502867E-2</v>
      </c>
      <c r="AC446" s="13">
        <f t="shared" si="27"/>
        <v>0.47060804789689642</v>
      </c>
      <c r="AD446" s="13"/>
      <c r="AE446" s="13"/>
      <c r="AF446" s="13"/>
    </row>
    <row r="447" spans="1:32">
      <c r="A447" s="1" t="s">
        <v>923</v>
      </c>
      <c r="B447">
        <v>771.12503320962094</v>
      </c>
      <c r="C447">
        <v>100.79801557742184</v>
      </c>
      <c r="D447">
        <v>397.64944333333329</v>
      </c>
      <c r="E447">
        <v>800.68758000000014</v>
      </c>
      <c r="F447">
        <v>403.03813666666673</v>
      </c>
      <c r="G447">
        <v>0.48660235798499463</v>
      </c>
      <c r="H447">
        <v>11.894218227700089</v>
      </c>
      <c r="I447">
        <v>8.3844369020679987E-2</v>
      </c>
      <c r="J447">
        <v>4.9602695108438524E-2</v>
      </c>
      <c r="K447">
        <v>0</v>
      </c>
      <c r="L447">
        <f t="shared" si="24"/>
        <v>2.6053461423204349</v>
      </c>
      <c r="M447" t="s">
        <v>605</v>
      </c>
      <c r="N447">
        <v>321</v>
      </c>
      <c r="O447">
        <v>20</v>
      </c>
      <c r="P447">
        <v>966</v>
      </c>
      <c r="Q447">
        <v>519.87278712898899</v>
      </c>
      <c r="R447">
        <v>656.15143586742204</v>
      </c>
      <c r="S447" t="s">
        <v>924</v>
      </c>
      <c r="T447">
        <v>0</v>
      </c>
      <c r="U447">
        <v>0</v>
      </c>
      <c r="V447">
        <v>0</v>
      </c>
      <c r="W447">
        <v>1208.4883</v>
      </c>
      <c r="X447">
        <v>0.54295224526991404</v>
      </c>
      <c r="AA447">
        <f t="shared" si="25"/>
        <v>-0.32865082810589269</v>
      </c>
      <c r="AB447">
        <f t="shared" si="26"/>
        <v>0.43089180549474915</v>
      </c>
      <c r="AC447" s="13">
        <f t="shared" si="27"/>
        <v>5.0482470218157091E-2</v>
      </c>
      <c r="AD447" s="13"/>
      <c r="AE447" s="13"/>
      <c r="AF447" s="13"/>
    </row>
    <row r="448" spans="1:32">
      <c r="A448" s="1" t="s">
        <v>925</v>
      </c>
      <c r="B448">
        <v>1256.3763883882687</v>
      </c>
      <c r="C448">
        <v>108.7704036878152</v>
      </c>
      <c r="D448">
        <v>0</v>
      </c>
      <c r="E448">
        <v>407.99286999999998</v>
      </c>
      <c r="F448">
        <v>407.99286999999998</v>
      </c>
      <c r="G448">
        <v>0.45192307692307698</v>
      </c>
      <c r="H448">
        <v>18.065273454785398</v>
      </c>
      <c r="I448">
        <v>8.0066075251827504E-2</v>
      </c>
      <c r="J448">
        <v>4.2575843731654191E-2</v>
      </c>
      <c r="K448">
        <v>0</v>
      </c>
      <c r="L448">
        <f t="shared" si="24"/>
        <v>2.6106525735146033</v>
      </c>
      <c r="M448" t="s">
        <v>605</v>
      </c>
      <c r="N448">
        <v>322</v>
      </c>
      <c r="O448">
        <v>0</v>
      </c>
      <c r="P448">
        <v>969</v>
      </c>
      <c r="Q448">
        <v>0</v>
      </c>
      <c r="R448">
        <v>0</v>
      </c>
      <c r="S448" t="s">
        <v>926</v>
      </c>
      <c r="T448">
        <v>0</v>
      </c>
      <c r="U448">
        <v>0</v>
      </c>
      <c r="W448">
        <v>421.41113000000001</v>
      </c>
      <c r="X448">
        <v>0</v>
      </c>
      <c r="Y448">
        <v>13.003964424133301</v>
      </c>
      <c r="Z448">
        <v>12.192813873291019</v>
      </c>
      <c r="AA448">
        <f t="shared" si="25"/>
        <v>-0.32832390702622133</v>
      </c>
      <c r="AB448">
        <f t="shared" si="26"/>
        <v>1.0662909623338279</v>
      </c>
      <c r="AC448" s="13">
        <f t="shared" si="27"/>
        <v>-0.45391654251028785</v>
      </c>
      <c r="AD448" s="13"/>
      <c r="AE448" s="13"/>
      <c r="AF448" s="13"/>
    </row>
    <row r="449" spans="1:32">
      <c r="A449" s="1" t="s">
        <v>927</v>
      </c>
      <c r="B449">
        <v>1185.2697234484558</v>
      </c>
      <c r="C449">
        <v>211.75652380579692</v>
      </c>
      <c r="D449">
        <v>0</v>
      </c>
      <c r="E449">
        <v>422.61768333333339</v>
      </c>
      <c r="F449">
        <v>422.61768333333339</v>
      </c>
      <c r="G449">
        <v>0.53205128205128205</v>
      </c>
      <c r="H449">
        <v>16.544279992840671</v>
      </c>
      <c r="I449">
        <v>1.8714014941301051</v>
      </c>
      <c r="J449">
        <v>0.10407547142075733</v>
      </c>
      <c r="K449">
        <v>0</v>
      </c>
      <c r="L449">
        <f t="shared" si="24"/>
        <v>2.62594766501496</v>
      </c>
      <c r="M449" t="s">
        <v>605</v>
      </c>
      <c r="N449">
        <v>322</v>
      </c>
      <c r="O449">
        <v>17</v>
      </c>
      <c r="P449">
        <v>969</v>
      </c>
      <c r="Q449">
        <v>440.52378277772198</v>
      </c>
      <c r="R449">
        <v>556.00200618239398</v>
      </c>
      <c r="S449" t="s">
        <v>928</v>
      </c>
      <c r="T449">
        <v>0</v>
      </c>
      <c r="U449">
        <v>0</v>
      </c>
      <c r="V449">
        <v>0</v>
      </c>
      <c r="W449">
        <v>577.23940000000005</v>
      </c>
      <c r="X449">
        <v>0.96320868981291696</v>
      </c>
      <c r="Y449">
        <v>12.260586738586429</v>
      </c>
      <c r="Z449">
        <v>11.68651008605957</v>
      </c>
      <c r="AA449">
        <f t="shared" si="25"/>
        <v>-0.32735893889508882</v>
      </c>
      <c r="AB449">
        <f t="shared" si="26"/>
        <v>0.90968274417437145</v>
      </c>
      <c r="AC449" s="13">
        <f t="shared" si="27"/>
        <v>-2.6504747514079514E-2</v>
      </c>
      <c r="AD449" s="13"/>
      <c r="AE449" s="13"/>
      <c r="AF449" s="13"/>
    </row>
    <row r="450" spans="1:32">
      <c r="A450" s="1" t="s">
        <v>929</v>
      </c>
      <c r="B450">
        <v>724.01069057799941</v>
      </c>
      <c r="C450">
        <v>158.19386668866946</v>
      </c>
      <c r="D450">
        <v>647.02646666666669</v>
      </c>
      <c r="E450">
        <v>1074.6097466666668</v>
      </c>
      <c r="F450">
        <v>427.58328</v>
      </c>
      <c r="G450">
        <v>0.47788565264293426</v>
      </c>
      <c r="H450">
        <v>15.991085330623271</v>
      </c>
      <c r="I450">
        <v>7.835064063260995E-2</v>
      </c>
      <c r="J450">
        <v>2.0824835648232221E-2</v>
      </c>
      <c r="K450">
        <v>0</v>
      </c>
      <c r="L450">
        <f t="shared" ref="L450:L513" si="28">LOG10(F450)</f>
        <v>2.6310207144373283</v>
      </c>
      <c r="M450" t="s">
        <v>605</v>
      </c>
      <c r="N450">
        <v>319</v>
      </c>
      <c r="O450">
        <v>10</v>
      </c>
      <c r="P450">
        <v>960</v>
      </c>
      <c r="Q450">
        <v>261.56099602427201</v>
      </c>
      <c r="R450">
        <v>330.12619117079601</v>
      </c>
      <c r="S450" t="s">
        <v>930</v>
      </c>
      <c r="T450">
        <v>0</v>
      </c>
      <c r="U450">
        <v>0</v>
      </c>
      <c r="V450">
        <v>0</v>
      </c>
      <c r="W450">
        <v>1218.7507000000001</v>
      </c>
      <c r="X450">
        <v>0.27087261666458601</v>
      </c>
      <c r="Y450">
        <v>12.605738639831539</v>
      </c>
      <c r="Z450">
        <v>11.79965114593506</v>
      </c>
      <c r="AA450">
        <f t="shared" ref="AA450:AA513" si="29">(F450-AVERAGE(F:F))/_xlfn.STDEV.P(F:F)</f>
        <v>-0.32703130103563877</v>
      </c>
      <c r="AB450">
        <f t="shared" ref="AB450:AB513" si="30">(H450-AVERAGE(H:H))/_xlfn.STDEV.P(H:H)</f>
        <v>0.8527233735309111</v>
      </c>
      <c r="AC450" s="13">
        <f t="shared" ref="AC450:AC513" si="31">(Q450-AVERAGE(Q:Q))/_xlfn.STDEV.P(Q:Q)</f>
        <v>-0.20014078923128956</v>
      </c>
      <c r="AD450" s="13"/>
      <c r="AE450" s="13"/>
      <c r="AF450" s="13"/>
    </row>
    <row r="451" spans="1:32">
      <c r="A451" s="1" t="s">
        <v>931</v>
      </c>
      <c r="B451">
        <v>754.97478473949013</v>
      </c>
      <c r="C451">
        <v>210.41086993604193</v>
      </c>
      <c r="D451">
        <v>257.98478366666666</v>
      </c>
      <c r="E451">
        <v>689.36869999999999</v>
      </c>
      <c r="F451">
        <v>431.38391633333327</v>
      </c>
      <c r="G451">
        <v>0.50961538461538458</v>
      </c>
      <c r="H451">
        <v>17.794376197650511</v>
      </c>
      <c r="I451">
        <v>7.1002870833769993E-2</v>
      </c>
      <c r="J451">
        <v>4.5199788510439265E-2</v>
      </c>
      <c r="K451">
        <v>0</v>
      </c>
      <c r="L451">
        <f t="shared" si="28"/>
        <v>2.6348639488845249</v>
      </c>
      <c r="M451" t="s">
        <v>605</v>
      </c>
      <c r="N451">
        <v>322</v>
      </c>
      <c r="O451">
        <v>7</v>
      </c>
      <c r="P451">
        <v>969</v>
      </c>
      <c r="Q451">
        <v>181.39214584965001</v>
      </c>
      <c r="R451">
        <v>228.94200254569199</v>
      </c>
      <c r="S451" t="s">
        <v>932</v>
      </c>
      <c r="T451">
        <v>0</v>
      </c>
      <c r="U451">
        <v>0</v>
      </c>
      <c r="V451">
        <v>0</v>
      </c>
      <c r="W451">
        <v>892.30799999999999</v>
      </c>
      <c r="X451">
        <v>0.25657284541401798</v>
      </c>
      <c r="Y451">
        <v>11.599245071411129</v>
      </c>
      <c r="Z451">
        <v>12.14297294616699</v>
      </c>
      <c r="AA451">
        <f t="shared" si="29"/>
        <v>-0.3267805290868897</v>
      </c>
      <c r="AB451">
        <f t="shared" si="30"/>
        <v>1.0383981818547225</v>
      </c>
      <c r="AC451" s="13">
        <f t="shared" si="31"/>
        <v>-0.27792345045302586</v>
      </c>
      <c r="AD451" s="13"/>
      <c r="AE451" s="13"/>
      <c r="AF451" s="13"/>
    </row>
    <row r="452" spans="1:32">
      <c r="A452" s="1" t="s">
        <v>933</v>
      </c>
      <c r="B452">
        <v>575.69861134937776</v>
      </c>
      <c r="C452">
        <v>175.24148352068997</v>
      </c>
      <c r="D452">
        <v>4.9177313333333332</v>
      </c>
      <c r="E452">
        <v>445.21206333333339</v>
      </c>
      <c r="F452">
        <v>440.294332</v>
      </c>
      <c r="G452">
        <v>0.39019607843137255</v>
      </c>
      <c r="H452">
        <v>5.4644149029935933</v>
      </c>
      <c r="I452">
        <v>5.6873892234640948E-2</v>
      </c>
      <c r="J452">
        <v>2.6039790089110521E-2</v>
      </c>
      <c r="K452">
        <v>0</v>
      </c>
      <c r="L452">
        <f t="shared" si="28"/>
        <v>2.6437430947328222</v>
      </c>
      <c r="M452" t="s">
        <v>605</v>
      </c>
      <c r="N452">
        <v>350</v>
      </c>
      <c r="O452">
        <v>25</v>
      </c>
      <c r="P452">
        <v>1053</v>
      </c>
      <c r="Q452">
        <v>596.15041828894095</v>
      </c>
      <c r="R452">
        <v>752.42436734084697</v>
      </c>
      <c r="S452" t="s">
        <v>934</v>
      </c>
      <c r="T452">
        <v>0</v>
      </c>
      <c r="U452">
        <v>0</v>
      </c>
      <c r="V452">
        <v>0</v>
      </c>
      <c r="W452">
        <v>577.24120000000005</v>
      </c>
      <c r="X452">
        <v>1.3034834785542799</v>
      </c>
      <c r="Y452">
        <v>10.551510810852051</v>
      </c>
      <c r="Z452">
        <v>12.028172492980961</v>
      </c>
      <c r="AA452">
        <f t="shared" si="29"/>
        <v>-0.32619260588011073</v>
      </c>
      <c r="AB452">
        <f t="shared" si="30"/>
        <v>-0.23114920059251248</v>
      </c>
      <c r="AC452" s="13">
        <f t="shared" si="31"/>
        <v>0.12448973276948221</v>
      </c>
      <c r="AD452" s="13"/>
      <c r="AE452" s="13"/>
      <c r="AF452" s="13"/>
    </row>
    <row r="453" spans="1:32">
      <c r="A453" s="1" t="s">
        <v>935</v>
      </c>
      <c r="B453">
        <v>176.55594962066007</v>
      </c>
      <c r="C453">
        <v>13.482630815565804</v>
      </c>
      <c r="D453">
        <v>45.507263333333334</v>
      </c>
      <c r="E453">
        <v>512.69925666666666</v>
      </c>
      <c r="F453">
        <v>467.19199333333336</v>
      </c>
      <c r="G453">
        <v>0.59062499999999996</v>
      </c>
      <c r="H453">
        <v>9.2906727848917778E-2</v>
      </c>
      <c r="I453">
        <v>8.3821184789957204E-2</v>
      </c>
      <c r="J453">
        <v>5.8327071234499123E-2</v>
      </c>
      <c r="K453">
        <v>1</v>
      </c>
      <c r="L453">
        <f t="shared" si="28"/>
        <v>2.6694953912940949</v>
      </c>
      <c r="M453" t="s">
        <v>605</v>
      </c>
      <c r="N453">
        <v>330</v>
      </c>
      <c r="O453">
        <v>8</v>
      </c>
      <c r="P453">
        <v>993</v>
      </c>
      <c r="Q453">
        <v>202.294909311824</v>
      </c>
      <c r="R453">
        <v>255.32418410792701</v>
      </c>
      <c r="S453" t="s">
        <v>936</v>
      </c>
      <c r="T453">
        <v>0</v>
      </c>
      <c r="U453">
        <v>0</v>
      </c>
      <c r="V453">
        <v>0</v>
      </c>
      <c r="W453">
        <v>814.67830000000004</v>
      </c>
      <c r="X453">
        <v>0.31340491591334502</v>
      </c>
      <c r="Y453">
        <v>9.322514533996582</v>
      </c>
      <c r="Z453">
        <v>12.14358615875244</v>
      </c>
      <c r="AA453">
        <f t="shared" si="29"/>
        <v>-0.32441785598094436</v>
      </c>
      <c r="AB453">
        <f t="shared" si="30"/>
        <v>-0.78422345448363928</v>
      </c>
      <c r="AC453" s="13">
        <f t="shared" si="31"/>
        <v>-0.2576428481313644</v>
      </c>
      <c r="AD453" s="13"/>
      <c r="AE453" s="13"/>
      <c r="AF453" s="13"/>
    </row>
    <row r="454" spans="1:32">
      <c r="A454" s="1" t="s">
        <v>937</v>
      </c>
      <c r="B454">
        <v>1029.2342567771602</v>
      </c>
      <c r="C454">
        <v>160.44905611699247</v>
      </c>
      <c r="D454">
        <v>0</v>
      </c>
      <c r="E454">
        <v>494.16252666666668</v>
      </c>
      <c r="F454">
        <v>494.16252666666668</v>
      </c>
      <c r="G454">
        <v>0.50803212851405621</v>
      </c>
      <c r="H454">
        <v>17.703089879342318</v>
      </c>
      <c r="I454">
        <v>2.4666005456201443</v>
      </c>
      <c r="J454">
        <v>1.0692576523308737</v>
      </c>
      <c r="K454">
        <v>0</v>
      </c>
      <c r="L454">
        <f t="shared" si="28"/>
        <v>2.6938698088950122</v>
      </c>
      <c r="M454" t="s">
        <v>605</v>
      </c>
      <c r="N454">
        <v>342</v>
      </c>
      <c r="O454">
        <v>9</v>
      </c>
      <c r="P454">
        <v>1029</v>
      </c>
      <c r="Q454">
        <v>219.61972844020499</v>
      </c>
      <c r="R454">
        <v>277.19050453991099</v>
      </c>
      <c r="S454" t="s">
        <v>938</v>
      </c>
      <c r="T454">
        <v>0</v>
      </c>
      <c r="U454">
        <v>0</v>
      </c>
      <c r="V454">
        <v>0</v>
      </c>
      <c r="W454">
        <v>580.08685000000003</v>
      </c>
      <c r="X454">
        <v>0.47784311011344399</v>
      </c>
      <c r="Y454">
        <v>13.077933311462401</v>
      </c>
      <c r="Z454">
        <v>11.38925361633301</v>
      </c>
      <c r="AA454">
        <f t="shared" si="29"/>
        <v>-0.32263829787287657</v>
      </c>
      <c r="AB454">
        <f t="shared" si="30"/>
        <v>1.0289989385244429</v>
      </c>
      <c r="AC454" s="13">
        <f t="shared" si="31"/>
        <v>-0.24083369427602697</v>
      </c>
      <c r="AD454" s="13"/>
      <c r="AE454" s="13"/>
      <c r="AF454" s="13"/>
    </row>
    <row r="455" spans="1:32">
      <c r="A455" s="1" t="s">
        <v>939</v>
      </c>
      <c r="B455">
        <v>887.90003350601683</v>
      </c>
      <c r="C455">
        <v>123.84864007142068</v>
      </c>
      <c r="D455">
        <v>1545.53388</v>
      </c>
      <c r="E455">
        <v>2050.0494666666668</v>
      </c>
      <c r="F455">
        <v>504.51558666666671</v>
      </c>
      <c r="G455">
        <v>0.41350210970464135</v>
      </c>
      <c r="H455">
        <v>19.667317396886116</v>
      </c>
      <c r="I455">
        <v>8.776857320639718E-2</v>
      </c>
      <c r="J455">
        <v>5.8401692683428867E-2</v>
      </c>
      <c r="K455">
        <v>0</v>
      </c>
      <c r="L455">
        <f t="shared" si="28"/>
        <v>2.7028745880134815</v>
      </c>
      <c r="M455" t="s">
        <v>605</v>
      </c>
      <c r="N455">
        <v>326</v>
      </c>
      <c r="O455">
        <v>0</v>
      </c>
      <c r="P455">
        <v>981</v>
      </c>
      <c r="Q455">
        <v>0</v>
      </c>
      <c r="R455">
        <v>0</v>
      </c>
      <c r="S455" t="s">
        <v>940</v>
      </c>
      <c r="T455">
        <v>0</v>
      </c>
      <c r="U455">
        <v>0</v>
      </c>
      <c r="W455">
        <v>2459.5895999999998</v>
      </c>
      <c r="X455">
        <v>0</v>
      </c>
      <c r="Y455">
        <v>12.27175331115723</v>
      </c>
      <c r="Z455">
        <v>13.761782646179199</v>
      </c>
      <c r="AA455">
        <f t="shared" si="29"/>
        <v>-0.32195518672937012</v>
      </c>
      <c r="AB455">
        <f t="shared" si="30"/>
        <v>1.2312444966276279</v>
      </c>
      <c r="AC455" s="13">
        <f t="shared" si="31"/>
        <v>-0.45391654251028785</v>
      </c>
      <c r="AD455" s="13"/>
      <c r="AE455" s="13"/>
      <c r="AF455" s="13"/>
    </row>
    <row r="456" spans="1:32">
      <c r="A456" s="1" t="s">
        <v>941</v>
      </c>
      <c r="B456">
        <v>164.11162882817837</v>
      </c>
      <c r="C456">
        <v>69.118319491299289</v>
      </c>
      <c r="D456">
        <v>2357.4474</v>
      </c>
      <c r="E456">
        <v>2866.2064666666665</v>
      </c>
      <c r="F456">
        <v>508.75906666666651</v>
      </c>
      <c r="G456">
        <v>0.5168776371308017</v>
      </c>
      <c r="H456">
        <v>0.41448812783310407</v>
      </c>
      <c r="I456">
        <v>8.917933261736706E-2</v>
      </c>
      <c r="J456">
        <v>6.3133622905889933E-2</v>
      </c>
      <c r="K456">
        <v>1</v>
      </c>
      <c r="L456">
        <f t="shared" si="28"/>
        <v>2.7065121619251014</v>
      </c>
      <c r="M456" t="s">
        <v>605</v>
      </c>
      <c r="N456">
        <v>326</v>
      </c>
      <c r="O456">
        <v>7</v>
      </c>
      <c r="P456">
        <v>981</v>
      </c>
      <c r="Q456">
        <v>179.17328168023499</v>
      </c>
      <c r="R456">
        <v>226.14148875308399</v>
      </c>
      <c r="S456" t="s">
        <v>942</v>
      </c>
      <c r="T456">
        <v>0</v>
      </c>
      <c r="U456">
        <v>0</v>
      </c>
      <c r="V456">
        <v>0</v>
      </c>
      <c r="W456">
        <v>3119.3683999999998</v>
      </c>
      <c r="X456">
        <v>7.2495922172284594E-2</v>
      </c>
      <c r="Y456">
        <v>13.49424457550049</v>
      </c>
      <c r="Z456">
        <v>11.24891948699951</v>
      </c>
      <c r="AA456">
        <f t="shared" si="29"/>
        <v>-0.32167519526064037</v>
      </c>
      <c r="AB456">
        <f t="shared" si="30"/>
        <v>-0.75111201034872888</v>
      </c>
      <c r="AC456" s="13">
        <f t="shared" si="31"/>
        <v>-0.28007627115097428</v>
      </c>
      <c r="AD456" s="13"/>
      <c r="AE456" s="13"/>
      <c r="AF456" s="13"/>
    </row>
    <row r="457" spans="1:32">
      <c r="A457" s="1" t="s">
        <v>943</v>
      </c>
      <c r="B457">
        <v>865.37061936264479</v>
      </c>
      <c r="C457">
        <v>240.94656671605577</v>
      </c>
      <c r="D457">
        <v>0</v>
      </c>
      <c r="E457">
        <v>530.71221666666668</v>
      </c>
      <c r="F457">
        <v>530.71221666666668</v>
      </c>
      <c r="G457">
        <v>0.49945355191256829</v>
      </c>
      <c r="H457">
        <v>16.876396738568886</v>
      </c>
      <c r="I457">
        <v>8.1354816178617131E-2</v>
      </c>
      <c r="J457">
        <v>5.0877537521253582E-2</v>
      </c>
      <c r="K457">
        <v>0</v>
      </c>
      <c r="L457">
        <f t="shared" si="28"/>
        <v>2.7248590849345562</v>
      </c>
      <c r="M457" t="s">
        <v>605</v>
      </c>
      <c r="N457">
        <v>315</v>
      </c>
      <c r="O457">
        <v>2</v>
      </c>
      <c r="P457">
        <v>948</v>
      </c>
      <c r="Q457">
        <v>52.974378941624799</v>
      </c>
      <c r="R457">
        <v>66.861000743452493</v>
      </c>
      <c r="S457" t="s">
        <v>944</v>
      </c>
      <c r="T457">
        <v>0</v>
      </c>
      <c r="U457">
        <v>0</v>
      </c>
      <c r="V457">
        <v>0</v>
      </c>
      <c r="W457">
        <v>921.31104000000005</v>
      </c>
      <c r="X457">
        <v>7.2571583146830099E-2</v>
      </c>
      <c r="Y457">
        <v>12.84351062774658</v>
      </c>
      <c r="Z457">
        <v>11.244569778442379</v>
      </c>
      <c r="AA457">
        <f t="shared" si="29"/>
        <v>-0.32022669197754633</v>
      </c>
      <c r="AB457">
        <f t="shared" si="30"/>
        <v>0.94387895413237521</v>
      </c>
      <c r="AC457" s="13">
        <f t="shared" si="31"/>
        <v>-0.40251892159302227</v>
      </c>
      <c r="AD457" s="13"/>
      <c r="AE457" s="13"/>
      <c r="AF457" s="13"/>
    </row>
    <row r="458" spans="1:32">
      <c r="A458" s="1" t="s">
        <v>945</v>
      </c>
      <c r="B458">
        <v>1008.4373530971183</v>
      </c>
      <c r="C458">
        <v>401.09466632080387</v>
      </c>
      <c r="D458">
        <v>1182.4473266666666</v>
      </c>
      <c r="E458">
        <v>1726.9685666666667</v>
      </c>
      <c r="F458">
        <v>544.52123999999981</v>
      </c>
      <c r="G458">
        <v>0.42842535787321062</v>
      </c>
      <c r="H458">
        <v>19.572303179268722</v>
      </c>
      <c r="I458">
        <v>7.7605268398407382E-2</v>
      </c>
      <c r="J458">
        <v>3.2675457338354565E-2</v>
      </c>
      <c r="K458">
        <v>0</v>
      </c>
      <c r="L458">
        <f t="shared" si="28"/>
        <v>2.7360148248353862</v>
      </c>
      <c r="M458" t="s">
        <v>605</v>
      </c>
      <c r="N458">
        <v>336</v>
      </c>
      <c r="O458">
        <v>6</v>
      </c>
      <c r="P458">
        <v>1011</v>
      </c>
      <c r="Q458">
        <v>149.01991464884301</v>
      </c>
      <c r="R458">
        <v>188.08376470264901</v>
      </c>
      <c r="S458" t="s">
        <v>946</v>
      </c>
      <c r="T458">
        <v>0</v>
      </c>
      <c r="U458">
        <v>0</v>
      </c>
      <c r="V458">
        <v>0</v>
      </c>
      <c r="W458">
        <v>2634.5268999999998</v>
      </c>
      <c r="X458">
        <v>7.1391855859452305E-2</v>
      </c>
      <c r="AA458">
        <f t="shared" si="29"/>
        <v>-0.31931555095064795</v>
      </c>
      <c r="AB458">
        <f t="shared" si="30"/>
        <v>1.2214614122862597</v>
      </c>
      <c r="AC458" s="13">
        <f t="shared" si="31"/>
        <v>-0.30933213708130403</v>
      </c>
      <c r="AD458" s="13"/>
      <c r="AE458" s="13"/>
      <c r="AF458" s="13"/>
    </row>
    <row r="459" spans="1:32">
      <c r="A459" s="1" t="s">
        <v>947</v>
      </c>
      <c r="B459">
        <v>1016.4801133159013</v>
      </c>
      <c r="C459">
        <v>117.96144350015278</v>
      </c>
      <c r="D459">
        <v>472.47510000000005</v>
      </c>
      <c r="E459">
        <v>1018.6011133333333</v>
      </c>
      <c r="F459">
        <v>546.12601333333339</v>
      </c>
      <c r="G459">
        <v>0.45690550363447557</v>
      </c>
      <c r="H459">
        <v>19.653028692581433</v>
      </c>
      <c r="I459">
        <v>8.5977794297356525E-2</v>
      </c>
      <c r="J459">
        <v>6.4521014614694477E-2</v>
      </c>
      <c r="K459">
        <v>0</v>
      </c>
      <c r="L459">
        <f t="shared" si="28"/>
        <v>2.7372928635490128</v>
      </c>
      <c r="M459" t="s">
        <v>605</v>
      </c>
      <c r="N459">
        <v>331</v>
      </c>
      <c r="O459">
        <v>3</v>
      </c>
      <c r="P459">
        <v>996</v>
      </c>
      <c r="Q459">
        <v>75.632095235934301</v>
      </c>
      <c r="R459">
        <v>95.458175760230404</v>
      </c>
      <c r="S459" t="s">
        <v>948</v>
      </c>
      <c r="T459">
        <v>0</v>
      </c>
      <c r="U459">
        <v>0</v>
      </c>
      <c r="V459">
        <v>0</v>
      </c>
      <c r="W459">
        <v>1012.3056</v>
      </c>
      <c r="X459">
        <v>9.4297784937898602E-2</v>
      </c>
      <c r="Y459">
        <v>13.60602855682373</v>
      </c>
      <c r="Z459">
        <v>11.16260814666748</v>
      </c>
      <c r="AA459">
        <f t="shared" si="29"/>
        <v>-0.31920966548810814</v>
      </c>
      <c r="AB459">
        <f t="shared" si="30"/>
        <v>1.2297732683962439</v>
      </c>
      <c r="AC459" s="13">
        <f t="shared" si="31"/>
        <v>-0.38053560180310742</v>
      </c>
      <c r="AD459" s="13"/>
      <c r="AE459" s="13"/>
      <c r="AF459" s="13"/>
    </row>
    <row r="460" spans="1:32">
      <c r="A460" s="1" t="s">
        <v>949</v>
      </c>
      <c r="B460">
        <v>753.94927323189097</v>
      </c>
      <c r="C460">
        <v>110.80214834168162</v>
      </c>
      <c r="D460">
        <v>0</v>
      </c>
      <c r="E460">
        <v>548.90774999999996</v>
      </c>
      <c r="F460">
        <v>548.90774999999996</v>
      </c>
      <c r="G460">
        <v>0.47876857749469215</v>
      </c>
      <c r="H460">
        <v>14.848264087708264</v>
      </c>
      <c r="I460">
        <v>7.0238431689432071E-2</v>
      </c>
      <c r="J460">
        <v>3.8018742224729001E-2</v>
      </c>
      <c r="K460">
        <v>0</v>
      </c>
      <c r="L460">
        <f t="shared" si="28"/>
        <v>2.7394993626061259</v>
      </c>
      <c r="M460" t="s">
        <v>605</v>
      </c>
      <c r="N460">
        <v>324</v>
      </c>
      <c r="O460">
        <v>6</v>
      </c>
      <c r="P460">
        <v>975</v>
      </c>
      <c r="Q460">
        <v>154.52218842049299</v>
      </c>
      <c r="R460">
        <v>195.02839601474699</v>
      </c>
      <c r="S460" t="s">
        <v>950</v>
      </c>
      <c r="T460">
        <v>0</v>
      </c>
      <c r="U460">
        <v>0</v>
      </c>
      <c r="V460">
        <v>0</v>
      </c>
      <c r="W460">
        <v>375.3476</v>
      </c>
      <c r="X460">
        <v>0.51959409362081299</v>
      </c>
      <c r="Y460">
        <v>10.48552227020264</v>
      </c>
      <c r="Z460">
        <v>12.435891151428221</v>
      </c>
      <c r="AA460">
        <f t="shared" si="29"/>
        <v>-0.31902612213809367</v>
      </c>
      <c r="AB460">
        <f t="shared" si="30"/>
        <v>0.73505344068395539</v>
      </c>
      <c r="AC460" s="13">
        <f t="shared" si="31"/>
        <v>-0.30399363595777196</v>
      </c>
      <c r="AD460" s="13"/>
      <c r="AE460" s="13"/>
      <c r="AF460" s="13"/>
    </row>
    <row r="461" spans="1:32">
      <c r="A461" s="1" t="s">
        <v>951</v>
      </c>
      <c r="B461">
        <v>155.01339975570218</v>
      </c>
      <c r="C461">
        <v>34.928387525367469</v>
      </c>
      <c r="D461">
        <v>0</v>
      </c>
      <c r="E461">
        <v>551.70132666666666</v>
      </c>
      <c r="F461">
        <v>551.70132666666666</v>
      </c>
      <c r="G461">
        <v>0.46815286624203822</v>
      </c>
      <c r="H461">
        <v>0.47960907868773378</v>
      </c>
      <c r="I461">
        <v>0.41811013491395782</v>
      </c>
      <c r="J461">
        <v>0.13914321381503655</v>
      </c>
      <c r="K461">
        <v>1</v>
      </c>
      <c r="L461">
        <f t="shared" si="28"/>
        <v>2.7417040282994471</v>
      </c>
      <c r="M461" t="s">
        <v>605</v>
      </c>
      <c r="N461">
        <v>324</v>
      </c>
      <c r="O461">
        <v>5</v>
      </c>
      <c r="P461">
        <v>975</v>
      </c>
      <c r="Q461">
        <v>128.76849035041101</v>
      </c>
      <c r="R461">
        <v>162.52366334562299</v>
      </c>
      <c r="S461" t="s">
        <v>952</v>
      </c>
      <c r="T461">
        <v>0</v>
      </c>
      <c r="U461">
        <v>0</v>
      </c>
      <c r="V461">
        <v>0</v>
      </c>
      <c r="W461">
        <v>419.13654000000002</v>
      </c>
      <c r="X461">
        <v>0.38775827883110098</v>
      </c>
      <c r="Y461">
        <v>11.67308902740479</v>
      </c>
      <c r="Z461">
        <v>13.77717113494873</v>
      </c>
      <c r="AA461">
        <f t="shared" si="29"/>
        <v>-0.31884179756630149</v>
      </c>
      <c r="AB461">
        <f t="shared" si="30"/>
        <v>-0.74440686904907238</v>
      </c>
      <c r="AC461" s="13">
        <f t="shared" si="31"/>
        <v>-0.32898078704985778</v>
      </c>
      <c r="AD461" s="13"/>
      <c r="AE461" s="13"/>
      <c r="AF461" s="13"/>
    </row>
    <row r="462" spans="1:32">
      <c r="A462" s="1" t="s">
        <v>953</v>
      </c>
      <c r="B462">
        <v>418.72046992995524</v>
      </c>
      <c r="C462">
        <v>209.44355824252224</v>
      </c>
      <c r="D462">
        <v>238.54215346666669</v>
      </c>
      <c r="E462">
        <v>823.73025999999993</v>
      </c>
      <c r="F462">
        <v>585.18810653333333</v>
      </c>
      <c r="G462">
        <v>0.52183173588924392</v>
      </c>
      <c r="H462">
        <v>4.6832754047620888</v>
      </c>
      <c r="I462">
        <v>8.7906402328713981E-2</v>
      </c>
      <c r="J462">
        <v>4.933167571784465E-2</v>
      </c>
      <c r="K462">
        <v>0</v>
      </c>
      <c r="L462">
        <f t="shared" si="28"/>
        <v>2.7672954908650409</v>
      </c>
      <c r="M462" t="s">
        <v>605</v>
      </c>
      <c r="N462">
        <v>323</v>
      </c>
      <c r="O462">
        <v>25</v>
      </c>
      <c r="P462">
        <v>972</v>
      </c>
      <c r="Q462">
        <v>645.82961981301901</v>
      </c>
      <c r="R462">
        <v>815.12639795258406</v>
      </c>
      <c r="S462" t="s">
        <v>954</v>
      </c>
      <c r="T462">
        <v>0</v>
      </c>
      <c r="U462">
        <v>0</v>
      </c>
      <c r="V462">
        <v>0</v>
      </c>
      <c r="W462">
        <v>1136.2819</v>
      </c>
      <c r="X462">
        <v>0.717362828671815</v>
      </c>
      <c r="Y462">
        <v>12.284359931945801</v>
      </c>
      <c r="Z462">
        <v>12.830008506774901</v>
      </c>
      <c r="AA462">
        <f t="shared" si="29"/>
        <v>-0.31663228728749804</v>
      </c>
      <c r="AB462">
        <f t="shared" si="30"/>
        <v>-0.31157878034599434</v>
      </c>
      <c r="AC462" s="13">
        <f t="shared" si="31"/>
        <v>0.1726902557094627</v>
      </c>
      <c r="AD462" s="13"/>
      <c r="AE462" s="13"/>
      <c r="AF462" s="13"/>
    </row>
    <row r="463" spans="1:32">
      <c r="A463" s="1" t="s">
        <v>955</v>
      </c>
      <c r="B463">
        <v>704.89677021777027</v>
      </c>
      <c r="C463">
        <v>23.978625344939466</v>
      </c>
      <c r="D463">
        <v>2994.9443666666666</v>
      </c>
      <c r="E463">
        <v>3584.4388999999996</v>
      </c>
      <c r="F463">
        <v>589.49453333333349</v>
      </c>
      <c r="G463">
        <v>0.47928994082840237</v>
      </c>
      <c r="H463">
        <v>15.728511927055417</v>
      </c>
      <c r="I463">
        <v>6.634918451135545E-2</v>
      </c>
      <c r="J463">
        <v>2.3955408177883043E-2</v>
      </c>
      <c r="K463">
        <v>0</v>
      </c>
      <c r="L463">
        <f t="shared" si="28"/>
        <v>2.7704797820279259</v>
      </c>
      <c r="M463" t="s">
        <v>605</v>
      </c>
      <c r="N463">
        <v>348</v>
      </c>
      <c r="O463">
        <v>10</v>
      </c>
      <c r="P463">
        <v>1047</v>
      </c>
      <c r="Q463">
        <v>239.82670122569399</v>
      </c>
      <c r="R463">
        <v>302.69450193310797</v>
      </c>
      <c r="S463" t="s">
        <v>956</v>
      </c>
      <c r="T463">
        <v>2</v>
      </c>
      <c r="U463">
        <v>244.887963756581</v>
      </c>
      <c r="V463">
        <v>0.97526631566058497</v>
      </c>
      <c r="W463">
        <v>5237.7837</v>
      </c>
      <c r="X463">
        <v>5.77905693076078E-2</v>
      </c>
      <c r="Y463">
        <v>8.8593921661376953</v>
      </c>
      <c r="Z463">
        <v>12.211625099182131</v>
      </c>
      <c r="AA463">
        <f t="shared" si="29"/>
        <v>-0.31634814249013621</v>
      </c>
      <c r="AB463">
        <f t="shared" si="30"/>
        <v>0.82568765385316278</v>
      </c>
      <c r="AC463" s="13">
        <f t="shared" si="31"/>
        <v>-0.22122817274157838</v>
      </c>
      <c r="AD463" s="13"/>
      <c r="AE463" s="13"/>
      <c r="AF463" s="13"/>
    </row>
    <row r="464" spans="1:32">
      <c r="A464" s="1" t="s">
        <v>957</v>
      </c>
      <c r="B464">
        <v>1146.7006478986307</v>
      </c>
      <c r="C464">
        <v>149.21622947975862</v>
      </c>
      <c r="D464">
        <v>226.46291666666664</v>
      </c>
      <c r="E464">
        <v>821.69996666666668</v>
      </c>
      <c r="F464">
        <v>595.23705000000007</v>
      </c>
      <c r="G464">
        <v>0.53094462540716614</v>
      </c>
      <c r="H464">
        <v>20.393886907193142</v>
      </c>
      <c r="I464">
        <v>6.6242185230052195E-2</v>
      </c>
      <c r="J464">
        <v>3.2731904892583479E-2</v>
      </c>
      <c r="K464">
        <v>0</v>
      </c>
      <c r="L464">
        <f t="shared" si="28"/>
        <v>2.7746899556523572</v>
      </c>
      <c r="M464" t="s">
        <v>605</v>
      </c>
      <c r="N464">
        <v>317</v>
      </c>
      <c r="O464">
        <v>50</v>
      </c>
      <c r="P464">
        <v>954</v>
      </c>
      <c r="Q464">
        <v>1316.0301686755799</v>
      </c>
      <c r="R464">
        <v>1661.0122826203601</v>
      </c>
      <c r="S464" t="s">
        <v>958</v>
      </c>
      <c r="T464">
        <v>0</v>
      </c>
      <c r="U464">
        <v>0</v>
      </c>
      <c r="V464">
        <v>0</v>
      </c>
      <c r="W464">
        <v>878.65589999999997</v>
      </c>
      <c r="X464">
        <v>1.8904013307375001</v>
      </c>
      <c r="Y464">
        <v>12.43353939056396</v>
      </c>
      <c r="Z464">
        <v>12.897994995117189</v>
      </c>
      <c r="AA464">
        <f t="shared" si="29"/>
        <v>-0.31596924223004191</v>
      </c>
      <c r="AB464">
        <f t="shared" si="30"/>
        <v>1.3060553089191456</v>
      </c>
      <c r="AC464" s="13">
        <f t="shared" si="31"/>
        <v>0.8229425934846698</v>
      </c>
      <c r="AD464" s="13"/>
      <c r="AE464" s="13"/>
      <c r="AF464" s="13"/>
    </row>
    <row r="465" spans="1:32">
      <c r="A465" s="1" t="s">
        <v>959</v>
      </c>
      <c r="B465">
        <v>834.83938688778881</v>
      </c>
      <c r="C465">
        <v>150.50694618729938</v>
      </c>
      <c r="D465">
        <v>7.7069000000000001</v>
      </c>
      <c r="E465">
        <v>606.01762333333329</v>
      </c>
      <c r="F465">
        <v>598.31072333333327</v>
      </c>
      <c r="G465">
        <v>0.49946409431939975</v>
      </c>
      <c r="H465">
        <v>17.014351733597568</v>
      </c>
      <c r="I465">
        <v>13.110915225667357</v>
      </c>
      <c r="J465">
        <v>4.1081916442787838</v>
      </c>
      <c r="K465">
        <v>0</v>
      </c>
      <c r="L465">
        <f t="shared" si="28"/>
        <v>2.7769267866340575</v>
      </c>
      <c r="M465" t="s">
        <v>605</v>
      </c>
      <c r="N465">
        <v>321</v>
      </c>
      <c r="O465">
        <v>24</v>
      </c>
      <c r="P465">
        <v>966</v>
      </c>
      <c r="Q465">
        <v>623.84734455478701</v>
      </c>
      <c r="R465">
        <v>787.38172304090597</v>
      </c>
      <c r="S465" t="s">
        <v>960</v>
      </c>
      <c r="T465">
        <v>0</v>
      </c>
      <c r="U465">
        <v>0</v>
      </c>
      <c r="V465">
        <v>0</v>
      </c>
      <c r="W465">
        <v>614.20680000000004</v>
      </c>
      <c r="X465">
        <v>1.28194888601185</v>
      </c>
      <c r="Y465">
        <v>9.5738048553466797</v>
      </c>
      <c r="Z465">
        <v>12.32835674285889</v>
      </c>
      <c r="AA465">
        <f t="shared" si="29"/>
        <v>-0.31576643644069091</v>
      </c>
      <c r="AB465">
        <f t="shared" si="30"/>
        <v>0.9580834109549673</v>
      </c>
      <c r="AC465" s="13">
        <f t="shared" si="31"/>
        <v>0.15136227276384631</v>
      </c>
      <c r="AD465" s="13"/>
      <c r="AE465" s="13"/>
      <c r="AF465" s="13"/>
    </row>
    <row r="466" spans="1:32">
      <c r="A466" s="1" t="s">
        <v>961</v>
      </c>
      <c r="B466">
        <v>997.23960350244352</v>
      </c>
      <c r="C466">
        <v>299.61918013833298</v>
      </c>
      <c r="D466">
        <v>0</v>
      </c>
      <c r="E466">
        <v>617.4692</v>
      </c>
      <c r="F466">
        <v>617.4692</v>
      </c>
      <c r="G466">
        <v>0.46557377049180326</v>
      </c>
      <c r="H466">
        <v>17.184352778440985</v>
      </c>
      <c r="I466">
        <v>7.2921812274388986E-2</v>
      </c>
      <c r="J466">
        <v>4.1454925436102387E-2</v>
      </c>
      <c r="K466">
        <v>0</v>
      </c>
      <c r="L466">
        <f t="shared" si="28"/>
        <v>2.7906152994156739</v>
      </c>
      <c r="M466" t="s">
        <v>605</v>
      </c>
      <c r="N466">
        <v>315</v>
      </c>
      <c r="O466">
        <v>25</v>
      </c>
      <c r="P466">
        <v>948</v>
      </c>
      <c r="Q466">
        <v>662.17973677031102</v>
      </c>
      <c r="R466">
        <v>835.76250929315597</v>
      </c>
      <c r="S466" t="s">
        <v>962</v>
      </c>
      <c r="T466">
        <v>0</v>
      </c>
      <c r="U466">
        <v>0</v>
      </c>
      <c r="V466">
        <v>0</v>
      </c>
      <c r="W466">
        <v>428.51947000000001</v>
      </c>
      <c r="X466">
        <v>1.95034897549265</v>
      </c>
      <c r="Y466">
        <v>13.71357345581055</v>
      </c>
      <c r="Z466">
        <v>11.30523586273193</v>
      </c>
      <c r="AA466">
        <f t="shared" si="29"/>
        <v>-0.31450233008917661</v>
      </c>
      <c r="AB466">
        <f t="shared" si="30"/>
        <v>0.97558747088967124</v>
      </c>
      <c r="AC466" s="13">
        <f t="shared" si="31"/>
        <v>0.18855371895553272</v>
      </c>
      <c r="AD466" s="13"/>
      <c r="AE466" s="13"/>
      <c r="AF466" s="13"/>
    </row>
    <row r="467" spans="1:32">
      <c r="A467" s="1" t="s">
        <v>963</v>
      </c>
      <c r="B467">
        <v>157.15793343085713</v>
      </c>
      <c r="C467">
        <v>54.431258095850943</v>
      </c>
      <c r="D467">
        <v>722.17294466666669</v>
      </c>
      <c r="E467">
        <v>1348.1609999999998</v>
      </c>
      <c r="F467">
        <v>625.98805533333314</v>
      </c>
      <c r="G467">
        <v>0.48909657320872268</v>
      </c>
      <c r="H467">
        <v>0.31629208876392501</v>
      </c>
      <c r="I467">
        <v>1.1875465727098564</v>
      </c>
      <c r="J467">
        <v>0.72192686652125337</v>
      </c>
      <c r="K467">
        <v>1</v>
      </c>
      <c r="L467">
        <f t="shared" si="28"/>
        <v>2.7965660463856477</v>
      </c>
      <c r="M467" t="s">
        <v>605</v>
      </c>
      <c r="N467">
        <v>331</v>
      </c>
      <c r="O467">
        <v>12</v>
      </c>
      <c r="P467">
        <v>996</v>
      </c>
      <c r="Q467">
        <v>302.52838094373698</v>
      </c>
      <c r="R467">
        <v>381.83270304092099</v>
      </c>
      <c r="S467" t="s">
        <v>964</v>
      </c>
      <c r="T467">
        <v>0</v>
      </c>
      <c r="U467">
        <v>0</v>
      </c>
      <c r="V467">
        <v>0</v>
      </c>
      <c r="W467">
        <v>2140.9009999999998</v>
      </c>
      <c r="X467">
        <v>0.17835140580574299</v>
      </c>
      <c r="Y467">
        <v>11.42966461181641</v>
      </c>
      <c r="Z467">
        <v>11.7262020111084</v>
      </c>
      <c r="AA467">
        <f t="shared" si="29"/>
        <v>-0.31394024264757769</v>
      </c>
      <c r="AB467">
        <f t="shared" si="30"/>
        <v>-0.76122270910826062</v>
      </c>
      <c r="AC467" s="13">
        <f t="shared" si="31"/>
        <v>-0.16039277968156629</v>
      </c>
      <c r="AD467" s="13"/>
      <c r="AE467" s="13"/>
      <c r="AF467" s="13"/>
    </row>
    <row r="468" spans="1:32">
      <c r="A468" s="1" t="s">
        <v>965</v>
      </c>
      <c r="B468">
        <v>815.20344574930857</v>
      </c>
      <c r="C468">
        <v>94.097034357831078</v>
      </c>
      <c r="D468">
        <v>73.178633333333337</v>
      </c>
      <c r="E468">
        <v>724.25108666666665</v>
      </c>
      <c r="F468">
        <v>651.07245333333333</v>
      </c>
      <c r="G468">
        <v>0.44444444444444442</v>
      </c>
      <c r="H468">
        <v>19.095162189248637</v>
      </c>
      <c r="I468">
        <v>8.2561231511123934E-2</v>
      </c>
      <c r="J468">
        <v>4.1120826312735725E-2</v>
      </c>
      <c r="K468">
        <v>0</v>
      </c>
      <c r="L468">
        <f t="shared" si="28"/>
        <v>2.8136293208753753</v>
      </c>
      <c r="M468" t="s">
        <v>605</v>
      </c>
      <c r="N468">
        <v>328</v>
      </c>
      <c r="O468">
        <v>0</v>
      </c>
      <c r="P468">
        <v>987</v>
      </c>
      <c r="Q468">
        <v>0</v>
      </c>
      <c r="R468">
        <v>0</v>
      </c>
      <c r="S468" t="s">
        <v>966</v>
      </c>
      <c r="T468">
        <v>0</v>
      </c>
      <c r="U468">
        <v>0</v>
      </c>
      <c r="W468">
        <v>1073.1514</v>
      </c>
      <c r="X468">
        <v>0</v>
      </c>
      <c r="Y468">
        <v>12.8629035949707</v>
      </c>
      <c r="Z468">
        <v>11.21043872833252</v>
      </c>
      <c r="AA468">
        <f t="shared" si="29"/>
        <v>-0.31228513470828712</v>
      </c>
      <c r="AB468">
        <f t="shared" si="30"/>
        <v>1.1723328643158148</v>
      </c>
      <c r="AC468" s="13">
        <f t="shared" si="31"/>
        <v>-0.45391654251028785</v>
      </c>
      <c r="AD468" s="13"/>
      <c r="AE468" s="13"/>
      <c r="AF468" s="13"/>
    </row>
    <row r="469" spans="1:32">
      <c r="A469" s="1" t="s">
        <v>967</v>
      </c>
      <c r="B469">
        <v>1051.2159733243177</v>
      </c>
      <c r="C469">
        <v>179.42283214576051</v>
      </c>
      <c r="D469">
        <v>0</v>
      </c>
      <c r="E469">
        <v>661.33309999999994</v>
      </c>
      <c r="F469">
        <v>661.33309999999994</v>
      </c>
      <c r="G469">
        <v>0.4412081984897519</v>
      </c>
      <c r="H469">
        <v>17.407595540677466</v>
      </c>
      <c r="I469">
        <v>7.5282321757232498E-2</v>
      </c>
      <c r="J469">
        <v>3.4926309036452989E-2</v>
      </c>
      <c r="K469">
        <v>0</v>
      </c>
      <c r="L469">
        <f t="shared" si="28"/>
        <v>2.8204202598695707</v>
      </c>
      <c r="M469" t="s">
        <v>605</v>
      </c>
      <c r="N469">
        <v>319</v>
      </c>
      <c r="O469">
        <v>0</v>
      </c>
      <c r="P469">
        <v>960</v>
      </c>
      <c r="Q469">
        <v>0</v>
      </c>
      <c r="R469">
        <v>0</v>
      </c>
      <c r="S469" t="s">
        <v>968</v>
      </c>
      <c r="T469">
        <v>0</v>
      </c>
      <c r="U469">
        <v>0</v>
      </c>
      <c r="W469">
        <v>605.67570000000001</v>
      </c>
      <c r="X469">
        <v>0</v>
      </c>
      <c r="Y469">
        <v>12.817845344543461</v>
      </c>
      <c r="Z469">
        <v>12.66506385803223</v>
      </c>
      <c r="AA469">
        <f t="shared" si="29"/>
        <v>-0.31160812114151726</v>
      </c>
      <c r="AB469">
        <f t="shared" si="30"/>
        <v>0.99857353367402335</v>
      </c>
      <c r="AC469" s="13">
        <f t="shared" si="31"/>
        <v>-0.45391654251028785</v>
      </c>
      <c r="AD469" s="13"/>
      <c r="AE469" s="13"/>
      <c r="AF469" s="13"/>
    </row>
    <row r="470" spans="1:32">
      <c r="A470" s="1" t="s">
        <v>969</v>
      </c>
      <c r="B470">
        <v>907.04314341031397</v>
      </c>
      <c r="C470">
        <v>186.30398645390855</v>
      </c>
      <c r="D470">
        <v>38.167470000000002</v>
      </c>
      <c r="E470">
        <v>771.25893333333318</v>
      </c>
      <c r="F470">
        <v>733.09146333333319</v>
      </c>
      <c r="G470">
        <v>0.40384615384615385</v>
      </c>
      <c r="H470">
        <v>21.599075432365225</v>
      </c>
      <c r="I470">
        <v>8.9788570072012575E-2</v>
      </c>
      <c r="J470">
        <v>6.2093750339087518E-2</v>
      </c>
      <c r="K470">
        <v>0</v>
      </c>
      <c r="L470">
        <f t="shared" si="28"/>
        <v>2.8651581622849522</v>
      </c>
      <c r="M470" t="s">
        <v>605</v>
      </c>
      <c r="N470">
        <v>322</v>
      </c>
      <c r="O470">
        <v>2</v>
      </c>
      <c r="P470">
        <v>969</v>
      </c>
      <c r="Q470">
        <v>51.826327385614398</v>
      </c>
      <c r="R470">
        <v>65.412000727340498</v>
      </c>
      <c r="S470" t="s">
        <v>970</v>
      </c>
      <c r="T470">
        <v>0</v>
      </c>
      <c r="U470">
        <v>0</v>
      </c>
      <c r="V470">
        <v>0</v>
      </c>
      <c r="W470">
        <v>705.19835999999998</v>
      </c>
      <c r="X470">
        <v>9.2756881521024098E-2</v>
      </c>
      <c r="Y470">
        <v>11.065505027771</v>
      </c>
      <c r="Z470">
        <v>13.40261936187744</v>
      </c>
      <c r="AA470">
        <f t="shared" si="29"/>
        <v>-0.30687339173467648</v>
      </c>
      <c r="AB470">
        <f t="shared" si="30"/>
        <v>1.4301468531603017</v>
      </c>
      <c r="AC470" s="13">
        <f t="shared" si="31"/>
        <v>-0.40363280192249862</v>
      </c>
      <c r="AD470" s="13"/>
      <c r="AE470" s="13"/>
      <c r="AF470" s="13"/>
    </row>
    <row r="471" spans="1:32">
      <c r="A471" s="1" t="s">
        <v>971</v>
      </c>
      <c r="B471">
        <v>1090.6809734772075</v>
      </c>
      <c r="C471">
        <v>155.70305618377265</v>
      </c>
      <c r="D471">
        <v>8627.4688999999998</v>
      </c>
      <c r="E471">
        <v>9363.8937999999998</v>
      </c>
      <c r="F471">
        <v>736.42489999999964</v>
      </c>
      <c r="G471">
        <v>0.46367521367521369</v>
      </c>
      <c r="H471">
        <v>17.760547296251499</v>
      </c>
      <c r="I471">
        <v>8.6266237662738068E-2</v>
      </c>
      <c r="J471">
        <v>6.7683916456372478E-2</v>
      </c>
      <c r="K471">
        <v>0</v>
      </c>
      <c r="L471">
        <f t="shared" si="28"/>
        <v>2.8671284644460142</v>
      </c>
      <c r="M471" t="s">
        <v>605</v>
      </c>
      <c r="N471">
        <v>322</v>
      </c>
      <c r="O471">
        <v>3</v>
      </c>
      <c r="P471">
        <v>969</v>
      </c>
      <c r="Q471">
        <v>77.739491078421594</v>
      </c>
      <c r="R471">
        <v>98.118001091010797</v>
      </c>
      <c r="S471" t="s">
        <v>972</v>
      </c>
      <c r="T471">
        <v>0</v>
      </c>
      <c r="U471">
        <v>0</v>
      </c>
      <c r="V471">
        <v>0</v>
      </c>
      <c r="W471">
        <v>12479.441999999999</v>
      </c>
      <c r="X471">
        <v>7.8623708568869299E-3</v>
      </c>
      <c r="Y471">
        <v>12.636693000793461</v>
      </c>
      <c r="Z471">
        <v>12.428547859191889</v>
      </c>
      <c r="AA471">
        <f t="shared" si="29"/>
        <v>-0.30665344635300446</v>
      </c>
      <c r="AB471">
        <f t="shared" si="30"/>
        <v>1.034915008453295</v>
      </c>
      <c r="AC471" s="13">
        <f t="shared" si="31"/>
        <v>-0.37849093162860403</v>
      </c>
      <c r="AD471" s="13"/>
      <c r="AE471" s="13"/>
      <c r="AF471" s="13"/>
    </row>
    <row r="472" spans="1:32">
      <c r="A472" s="1" t="s">
        <v>973</v>
      </c>
      <c r="B472">
        <v>969.10902860663316</v>
      </c>
      <c r="C472">
        <v>175.3661967825945</v>
      </c>
      <c r="D472">
        <v>0</v>
      </c>
      <c r="E472">
        <v>770.8760033333333</v>
      </c>
      <c r="F472">
        <v>770.8760033333333</v>
      </c>
      <c r="G472">
        <v>0.4420289855072464</v>
      </c>
      <c r="H472">
        <v>21.197903918027496</v>
      </c>
      <c r="I472">
        <v>7.1031357287568334E-2</v>
      </c>
      <c r="J472">
        <v>4.0632937555996895E-2</v>
      </c>
      <c r="K472">
        <v>0</v>
      </c>
      <c r="L472">
        <f t="shared" si="28"/>
        <v>2.8869845266905267</v>
      </c>
      <c r="M472" t="s">
        <v>605</v>
      </c>
      <c r="N472">
        <v>332</v>
      </c>
      <c r="O472">
        <v>13</v>
      </c>
      <c r="P472">
        <v>999</v>
      </c>
      <c r="Q472">
        <v>326.75487791620799</v>
      </c>
      <c r="R472">
        <v>412.409896477632</v>
      </c>
      <c r="S472" t="s">
        <v>974</v>
      </c>
      <c r="T472">
        <v>0</v>
      </c>
      <c r="U472">
        <v>0</v>
      </c>
      <c r="V472">
        <v>0</v>
      </c>
      <c r="W472">
        <v>1377.4088999999999</v>
      </c>
      <c r="X472">
        <v>0.29940992575090197</v>
      </c>
      <c r="Y472">
        <v>12.66532135009766</v>
      </c>
      <c r="Z472">
        <v>11.87116146087646</v>
      </c>
      <c r="AA472">
        <f t="shared" si="29"/>
        <v>-0.30438030849877656</v>
      </c>
      <c r="AB472">
        <f t="shared" si="30"/>
        <v>1.3888404586170713</v>
      </c>
      <c r="AC472" s="13">
        <f t="shared" si="31"/>
        <v>-0.13688737324883624</v>
      </c>
      <c r="AD472" s="13"/>
      <c r="AE472" s="13"/>
      <c r="AF472" s="13"/>
    </row>
    <row r="473" spans="1:32">
      <c r="A473" s="1" t="s">
        <v>975</v>
      </c>
      <c r="B473">
        <v>731.89427056432226</v>
      </c>
      <c r="C473">
        <v>154.5803597167492</v>
      </c>
      <c r="D473">
        <v>0</v>
      </c>
      <c r="E473">
        <v>771.21445666666659</v>
      </c>
      <c r="F473">
        <v>771.21445666666659</v>
      </c>
      <c r="G473">
        <v>0.37590861889927307</v>
      </c>
      <c r="H473">
        <v>14.597593586697917</v>
      </c>
      <c r="I473">
        <v>7.573175949594807E-2</v>
      </c>
      <c r="J473">
        <v>3.9118342147245556E-2</v>
      </c>
      <c r="K473">
        <v>0</v>
      </c>
      <c r="L473">
        <f t="shared" si="28"/>
        <v>2.8871751619628681</v>
      </c>
      <c r="M473" t="s">
        <v>605</v>
      </c>
      <c r="N473">
        <v>331</v>
      </c>
      <c r="O473">
        <v>52</v>
      </c>
      <c r="P473">
        <v>996</v>
      </c>
      <c r="Q473">
        <v>1310.9563174228599</v>
      </c>
      <c r="R473">
        <v>1654.60837984399</v>
      </c>
      <c r="S473" t="s">
        <v>976</v>
      </c>
      <c r="T473">
        <v>0</v>
      </c>
      <c r="U473">
        <v>0</v>
      </c>
      <c r="V473">
        <v>0</v>
      </c>
      <c r="W473">
        <v>460.65417000000002</v>
      </c>
      <c r="X473">
        <v>3.5918667139038201</v>
      </c>
      <c r="Y473">
        <v>9.4761219024658203</v>
      </c>
      <c r="Z473">
        <v>12.70302581787109</v>
      </c>
      <c r="AA473">
        <f t="shared" si="29"/>
        <v>-0.30435797681678523</v>
      </c>
      <c r="AB473">
        <f t="shared" si="30"/>
        <v>0.70924329653108376</v>
      </c>
      <c r="AC473" s="13">
        <f t="shared" si="31"/>
        <v>0.81801976308083868</v>
      </c>
      <c r="AD473" s="13"/>
      <c r="AE473" s="13"/>
      <c r="AF473" s="13"/>
    </row>
    <row r="474" spans="1:32">
      <c r="A474" s="1" t="s">
        <v>977</v>
      </c>
      <c r="B474">
        <v>973.68244892424798</v>
      </c>
      <c r="C474">
        <v>71.742902385900877</v>
      </c>
      <c r="D474">
        <v>964.86583346666669</v>
      </c>
      <c r="E474">
        <v>1745.7971333333335</v>
      </c>
      <c r="F474">
        <v>780.93129986666656</v>
      </c>
      <c r="G474">
        <v>0.42443729903536975</v>
      </c>
      <c r="H474">
        <v>17.633320865364126</v>
      </c>
      <c r="I474">
        <v>7.0240985295522348E-2</v>
      </c>
      <c r="J474">
        <v>3.064175402360728E-2</v>
      </c>
      <c r="K474">
        <v>0</v>
      </c>
      <c r="L474">
        <f t="shared" si="28"/>
        <v>2.8926128297785225</v>
      </c>
      <c r="M474" t="s">
        <v>605</v>
      </c>
      <c r="N474">
        <v>321</v>
      </c>
      <c r="O474">
        <v>11</v>
      </c>
      <c r="P474">
        <v>966</v>
      </c>
      <c r="Q474">
        <v>285.93003292094397</v>
      </c>
      <c r="R474">
        <v>360.883289727082</v>
      </c>
      <c r="S474" t="s">
        <v>978</v>
      </c>
      <c r="T474">
        <v>1</v>
      </c>
      <c r="U474">
        <v>122.44398187829</v>
      </c>
      <c r="V474">
        <v>0.44330287075481101</v>
      </c>
      <c r="W474">
        <v>2786.6592000000001</v>
      </c>
      <c r="X474">
        <v>0.12950391986471901</v>
      </c>
      <c r="Y474">
        <v>11.157131195068359</v>
      </c>
      <c r="Z474">
        <v>11.01365375518799</v>
      </c>
      <c r="AA474">
        <f t="shared" si="29"/>
        <v>-0.30371684425601331</v>
      </c>
      <c r="AB474">
        <f t="shared" si="30"/>
        <v>1.021815212075089</v>
      </c>
      <c r="AC474" s="13">
        <f t="shared" si="31"/>
        <v>-0.1764970855096431</v>
      </c>
      <c r="AD474" s="13"/>
      <c r="AE474" s="13"/>
      <c r="AF474" s="13"/>
    </row>
    <row r="475" spans="1:32">
      <c r="A475" s="1" t="s">
        <v>979</v>
      </c>
      <c r="B475">
        <v>946.56343504336985</v>
      </c>
      <c r="C475">
        <v>113.92941853700029</v>
      </c>
      <c r="D475">
        <v>219.50041366666667</v>
      </c>
      <c r="E475">
        <v>1002.7087133333334</v>
      </c>
      <c r="F475">
        <v>783.20829966666645</v>
      </c>
      <c r="G475">
        <v>0.45980707395498388</v>
      </c>
      <c r="H475">
        <v>19.436540898308035</v>
      </c>
      <c r="I475">
        <v>8.3708195036445374E-2</v>
      </c>
      <c r="J475">
        <v>4.4164996519161864E-2</v>
      </c>
      <c r="K475">
        <v>0</v>
      </c>
      <c r="L475">
        <f t="shared" si="28"/>
        <v>2.8938772810427018</v>
      </c>
      <c r="M475" t="s">
        <v>605</v>
      </c>
      <c r="N475">
        <v>321</v>
      </c>
      <c r="O475">
        <v>27</v>
      </c>
      <c r="P475">
        <v>966</v>
      </c>
      <c r="Q475">
        <v>701.82826262413596</v>
      </c>
      <c r="R475">
        <v>885.80443842102</v>
      </c>
      <c r="S475" t="s">
        <v>980</v>
      </c>
      <c r="T475">
        <v>0</v>
      </c>
      <c r="U475">
        <v>0</v>
      </c>
      <c r="V475">
        <v>0</v>
      </c>
      <c r="W475">
        <v>1120.3607999999999</v>
      </c>
      <c r="X475">
        <v>0.79064212030715397</v>
      </c>
      <c r="Y475">
        <v>12.476091384887701</v>
      </c>
      <c r="Z475">
        <v>11.097213745117189</v>
      </c>
      <c r="AA475">
        <f t="shared" si="29"/>
        <v>-0.3035666042364305</v>
      </c>
      <c r="AB475">
        <f t="shared" si="30"/>
        <v>1.2074827270081969</v>
      </c>
      <c r="AC475" s="13">
        <f t="shared" si="31"/>
        <v>0.22702212467311361</v>
      </c>
      <c r="AD475" s="13"/>
      <c r="AE475" s="13"/>
      <c r="AF475" s="13"/>
    </row>
    <row r="476" spans="1:32">
      <c r="A476" s="1" t="s">
        <v>981</v>
      </c>
      <c r="B476">
        <v>1002.3029881310813</v>
      </c>
      <c r="C476">
        <v>138.25258010480891</v>
      </c>
      <c r="D476">
        <v>34.289248666666666</v>
      </c>
      <c r="E476">
        <v>825.25131333333331</v>
      </c>
      <c r="F476">
        <v>790.96206466666672</v>
      </c>
      <c r="G476">
        <v>0.4145299145299145</v>
      </c>
      <c r="H476">
        <v>19.934516092120756</v>
      </c>
      <c r="I476">
        <v>9.2166954492584552E-2</v>
      </c>
      <c r="J476">
        <v>3.8227889609212216E-2</v>
      </c>
      <c r="K476">
        <v>0</v>
      </c>
      <c r="L476">
        <f t="shared" si="28"/>
        <v>2.8981556547985479</v>
      </c>
      <c r="M476" t="s">
        <v>605</v>
      </c>
      <c r="N476">
        <v>322</v>
      </c>
      <c r="O476">
        <v>18</v>
      </c>
      <c r="P476">
        <v>969</v>
      </c>
      <c r="Q476">
        <v>466.43694647053002</v>
      </c>
      <c r="R476">
        <v>588.70800654606501</v>
      </c>
      <c r="S476" t="s">
        <v>982</v>
      </c>
      <c r="T476">
        <v>0</v>
      </c>
      <c r="U476">
        <v>0</v>
      </c>
      <c r="V476">
        <v>0</v>
      </c>
      <c r="W476">
        <v>1080.539</v>
      </c>
      <c r="X476">
        <v>0.54482809648338903</v>
      </c>
      <c r="Y476">
        <v>10.804549217224119</v>
      </c>
      <c r="Z476">
        <v>10.83796215057373</v>
      </c>
      <c r="AA476">
        <f t="shared" si="29"/>
        <v>-0.30305499865550756</v>
      </c>
      <c r="AB476">
        <f t="shared" si="30"/>
        <v>1.2587564568051066</v>
      </c>
      <c r="AC476" s="13">
        <f t="shared" si="31"/>
        <v>-1.3628772201840626E-3</v>
      </c>
      <c r="AD476" s="13"/>
      <c r="AE476" s="13"/>
      <c r="AF476" s="13"/>
    </row>
    <row r="477" spans="1:32">
      <c r="A477" s="1" t="s">
        <v>983</v>
      </c>
      <c r="B477">
        <v>940.14646416050039</v>
      </c>
      <c r="C477">
        <v>248.36884356420566</v>
      </c>
      <c r="D477">
        <v>154.54245566666665</v>
      </c>
      <c r="E477">
        <v>947.89109999999994</v>
      </c>
      <c r="F477">
        <v>793.34864433333348</v>
      </c>
      <c r="G477">
        <v>0.48017148981779206</v>
      </c>
      <c r="H477">
        <v>14.4838366605139</v>
      </c>
      <c r="I477">
        <v>8.1634349340780912E-2</v>
      </c>
      <c r="J477">
        <v>3.8882564162813993E-2</v>
      </c>
      <c r="K477">
        <v>0</v>
      </c>
      <c r="L477">
        <f t="shared" si="28"/>
        <v>2.899464083956993</v>
      </c>
      <c r="M477" t="s">
        <v>605</v>
      </c>
      <c r="N477">
        <v>321</v>
      </c>
      <c r="O477">
        <v>80</v>
      </c>
      <c r="P477">
        <v>966</v>
      </c>
      <c r="Q477">
        <v>2079.49114851595</v>
      </c>
      <c r="R477">
        <v>2624.60574346968</v>
      </c>
      <c r="S477" t="s">
        <v>984</v>
      </c>
      <c r="T477">
        <v>1</v>
      </c>
      <c r="U477">
        <v>122.44398187829</v>
      </c>
      <c r="V477">
        <v>6.0954144728786498E-2</v>
      </c>
      <c r="W477">
        <v>1251.144</v>
      </c>
      <c r="X477">
        <v>2.0977647205035401</v>
      </c>
      <c r="Y477">
        <v>10.009121894836429</v>
      </c>
      <c r="Z477">
        <v>12.08419609069824</v>
      </c>
      <c r="AA477">
        <f t="shared" si="29"/>
        <v>-0.30289752838438327</v>
      </c>
      <c r="AB477">
        <f t="shared" si="30"/>
        <v>0.6975303799678545</v>
      </c>
      <c r="AC477" s="13">
        <f t="shared" si="31"/>
        <v>1.5636795084034862</v>
      </c>
      <c r="AD477" s="13"/>
      <c r="AE477" s="13"/>
      <c r="AF477" s="13"/>
    </row>
    <row r="478" spans="1:32">
      <c r="A478" s="1" t="s">
        <v>985</v>
      </c>
      <c r="B478">
        <v>931.53926611236693</v>
      </c>
      <c r="C478">
        <v>126.95676775732912</v>
      </c>
      <c r="D478">
        <v>11.743848</v>
      </c>
      <c r="E478">
        <v>824.05648000000008</v>
      </c>
      <c r="F478">
        <v>812.31263200000001</v>
      </c>
      <c r="G478">
        <v>0.41745531019978965</v>
      </c>
      <c r="H478">
        <v>14.099771609835457</v>
      </c>
      <c r="I478">
        <v>6.0309092059533824E-2</v>
      </c>
      <c r="J478">
        <v>3.9059001856616288E-2</v>
      </c>
      <c r="K478">
        <v>0</v>
      </c>
      <c r="L478">
        <f t="shared" si="28"/>
        <v>2.9097232068539922</v>
      </c>
      <c r="M478" t="s">
        <v>605</v>
      </c>
      <c r="N478">
        <v>327</v>
      </c>
      <c r="O478">
        <v>9</v>
      </c>
      <c r="P478">
        <v>984</v>
      </c>
      <c r="Q478">
        <v>229.663313582288</v>
      </c>
      <c r="R478">
        <v>289.86689956460202</v>
      </c>
      <c r="S478" t="s">
        <v>986</v>
      </c>
      <c r="T478">
        <v>0</v>
      </c>
      <c r="U478">
        <v>0</v>
      </c>
      <c r="V478">
        <v>0</v>
      </c>
      <c r="W478">
        <v>940.07294000000002</v>
      </c>
      <c r="X478">
        <v>0.30834511582112101</v>
      </c>
      <c r="AA478">
        <f t="shared" si="29"/>
        <v>-0.30164625472225631</v>
      </c>
      <c r="AB478">
        <f t="shared" si="30"/>
        <v>0.65798534262945074</v>
      </c>
      <c r="AC478" s="13">
        <f t="shared" si="31"/>
        <v>-0.231089051826289</v>
      </c>
      <c r="AD478" s="13"/>
      <c r="AE478" s="13"/>
      <c r="AF478" s="13"/>
    </row>
    <row r="479" spans="1:32">
      <c r="A479" s="1" t="s">
        <v>987</v>
      </c>
      <c r="B479">
        <v>729.23954085477499</v>
      </c>
      <c r="C479">
        <v>233.63074845718381</v>
      </c>
      <c r="D479">
        <v>266.23541933333331</v>
      </c>
      <c r="E479">
        <v>1085.0168133333334</v>
      </c>
      <c r="F479">
        <v>818.78139399999998</v>
      </c>
      <c r="G479">
        <v>0.489247311827957</v>
      </c>
      <c r="H479">
        <v>7.3878739077579967</v>
      </c>
      <c r="I479">
        <v>7.1956421545985486E-2</v>
      </c>
      <c r="J479">
        <v>4.071444895113914E-2</v>
      </c>
      <c r="K479">
        <v>0</v>
      </c>
      <c r="L479">
        <f t="shared" si="28"/>
        <v>2.9131679651886362</v>
      </c>
      <c r="M479" t="s">
        <v>605</v>
      </c>
      <c r="N479">
        <v>320</v>
      </c>
      <c r="O479">
        <v>13</v>
      </c>
      <c r="P479">
        <v>963</v>
      </c>
      <c r="Q479">
        <v>338.97001353924401</v>
      </c>
      <c r="R479">
        <v>427.82708886931903</v>
      </c>
      <c r="S479" t="s">
        <v>988</v>
      </c>
      <c r="T479">
        <v>0</v>
      </c>
      <c r="U479">
        <v>0</v>
      </c>
      <c r="V479">
        <v>0</v>
      </c>
      <c r="W479">
        <v>1936.444</v>
      </c>
      <c r="X479">
        <v>0.22093439772558299</v>
      </c>
      <c r="Y479">
        <v>12.050633430480961</v>
      </c>
      <c r="Z479">
        <v>10.980008125305179</v>
      </c>
      <c r="AA479">
        <f t="shared" si="29"/>
        <v>-0.30121943565553683</v>
      </c>
      <c r="AB479">
        <f t="shared" si="30"/>
        <v>-3.3101348990464213E-2</v>
      </c>
      <c r="AC479" s="13">
        <f t="shared" si="31"/>
        <v>-0.12503581551943596</v>
      </c>
      <c r="AD479" s="13"/>
      <c r="AE479" s="13"/>
      <c r="AF479" s="13"/>
    </row>
    <row r="480" spans="1:32">
      <c r="A480" s="1" t="s">
        <v>989</v>
      </c>
      <c r="B480">
        <v>768.35555090110984</v>
      </c>
      <c r="C480">
        <v>296.20124977952111</v>
      </c>
      <c r="D480">
        <v>17.39554</v>
      </c>
      <c r="E480">
        <v>849.5526666666666</v>
      </c>
      <c r="F480">
        <v>832.15712666666661</v>
      </c>
      <c r="G480">
        <v>0.39059304703476483</v>
      </c>
      <c r="H480">
        <v>17.148947426313281</v>
      </c>
      <c r="I480">
        <v>7.9841113925332122E-2</v>
      </c>
      <c r="J480">
        <v>1.732011460647748E-2</v>
      </c>
      <c r="K480">
        <v>0</v>
      </c>
      <c r="L480">
        <f t="shared" si="28"/>
        <v>2.9202053368694156</v>
      </c>
      <c r="M480" t="s">
        <v>605</v>
      </c>
      <c r="N480">
        <v>336</v>
      </c>
      <c r="O480">
        <v>4</v>
      </c>
      <c r="P480">
        <v>1011</v>
      </c>
      <c r="Q480">
        <v>99.346609765895906</v>
      </c>
      <c r="R480">
        <v>125.38917646843301</v>
      </c>
      <c r="S480" t="s">
        <v>990</v>
      </c>
      <c r="T480">
        <v>0</v>
      </c>
      <c r="U480">
        <v>0</v>
      </c>
      <c r="V480">
        <v>0</v>
      </c>
      <c r="W480">
        <v>742.17016999999998</v>
      </c>
      <c r="X480">
        <v>0.16894936166517299</v>
      </c>
      <c r="Y480">
        <v>10.68975162506104</v>
      </c>
      <c r="Z480">
        <v>11.406875610351561</v>
      </c>
      <c r="AA480">
        <f t="shared" si="29"/>
        <v>-0.30033688382668972</v>
      </c>
      <c r="AB480">
        <f t="shared" si="30"/>
        <v>0.97194197914446789</v>
      </c>
      <c r="AC480" s="13">
        <f t="shared" si="31"/>
        <v>-0.35752693889096476</v>
      </c>
      <c r="AD480" s="13"/>
      <c r="AE480" s="13"/>
      <c r="AF480" s="13"/>
    </row>
    <row r="481" spans="1:32">
      <c r="A481" s="1" t="s">
        <v>991</v>
      </c>
      <c r="B481">
        <v>184.34682970841206</v>
      </c>
      <c r="C481">
        <v>45.386069087304946</v>
      </c>
      <c r="D481">
        <v>347.51833000000005</v>
      </c>
      <c r="E481">
        <v>1189.5971999999999</v>
      </c>
      <c r="F481">
        <v>842.07886999999994</v>
      </c>
      <c r="G481">
        <v>0.4587352625937835</v>
      </c>
      <c r="H481">
        <v>1.9566495114515989</v>
      </c>
      <c r="I481">
        <v>7.1000307772911622E-2</v>
      </c>
      <c r="J481">
        <v>4.7714646771679137E-2</v>
      </c>
      <c r="K481">
        <v>0</v>
      </c>
      <c r="L481">
        <f t="shared" si="28"/>
        <v>2.9253527698864197</v>
      </c>
      <c r="M481" t="s">
        <v>605</v>
      </c>
      <c r="N481">
        <v>321</v>
      </c>
      <c r="O481">
        <v>14</v>
      </c>
      <c r="P481">
        <v>966</v>
      </c>
      <c r="Q481">
        <v>363.91095099029201</v>
      </c>
      <c r="R481">
        <v>459.30600510719501</v>
      </c>
      <c r="S481" t="s">
        <v>992</v>
      </c>
      <c r="T481">
        <v>0</v>
      </c>
      <c r="U481">
        <v>0</v>
      </c>
      <c r="V481">
        <v>0</v>
      </c>
      <c r="W481">
        <v>1231.2538999999999</v>
      </c>
      <c r="X481">
        <v>0.37303922863285599</v>
      </c>
      <c r="Y481">
        <v>10.876447677612299</v>
      </c>
      <c r="Z481">
        <v>13.312858581542971</v>
      </c>
      <c r="AA481">
        <f t="shared" si="29"/>
        <v>-0.29968223163361724</v>
      </c>
      <c r="AB481">
        <f t="shared" si="30"/>
        <v>-0.5923242492928622</v>
      </c>
      <c r="AC481" s="13">
        <f t="shared" si="31"/>
        <v>-0.10083723360037668</v>
      </c>
      <c r="AD481" s="13"/>
      <c r="AE481" s="13"/>
      <c r="AF481" s="13"/>
    </row>
    <row r="482" spans="1:32">
      <c r="A482" s="1" t="s">
        <v>993</v>
      </c>
      <c r="B482">
        <v>176.51375265868566</v>
      </c>
      <c r="C482">
        <v>72.091335166369561</v>
      </c>
      <c r="D482">
        <v>3429.0158200000001</v>
      </c>
      <c r="E482">
        <v>4272.5001666666667</v>
      </c>
      <c r="F482">
        <v>843.48434666666651</v>
      </c>
      <c r="G482">
        <v>0.48112189859762677</v>
      </c>
      <c r="H482">
        <v>1.1028056709021905</v>
      </c>
      <c r="I482">
        <v>0.38275874389725151</v>
      </c>
      <c r="J482">
        <v>0.18914890350872973</v>
      </c>
      <c r="K482">
        <v>5.3187345878027371E-6</v>
      </c>
      <c r="L482">
        <f t="shared" si="28"/>
        <v>2.9260770273882506</v>
      </c>
      <c r="M482" t="s">
        <v>605</v>
      </c>
      <c r="N482">
        <v>319</v>
      </c>
      <c r="O482">
        <v>49</v>
      </c>
      <c r="P482">
        <v>960</v>
      </c>
      <c r="Q482">
        <v>1281.6488805189299</v>
      </c>
      <c r="R482">
        <v>1617.6183367368999</v>
      </c>
      <c r="S482" t="s">
        <v>994</v>
      </c>
      <c r="T482">
        <v>0</v>
      </c>
      <c r="U482">
        <v>0</v>
      </c>
      <c r="V482">
        <v>0</v>
      </c>
      <c r="W482">
        <v>7310.3954999999996</v>
      </c>
      <c r="X482">
        <v>0.22127644622468101</v>
      </c>
      <c r="Y482">
        <v>11.657108306884769</v>
      </c>
      <c r="Z482">
        <v>11.553352355957029</v>
      </c>
      <c r="AA482">
        <f t="shared" si="29"/>
        <v>-0.29958949607785518</v>
      </c>
      <c r="AB482">
        <f t="shared" si="30"/>
        <v>-0.68023978989216127</v>
      </c>
      <c r="AC482" s="13">
        <f t="shared" si="31"/>
        <v>0.78958464855680099</v>
      </c>
      <c r="AD482" s="13"/>
      <c r="AE482" s="13"/>
      <c r="AF482" s="13"/>
    </row>
    <row r="483" spans="1:32">
      <c r="A483" s="1" t="s">
        <v>995</v>
      </c>
      <c r="B483">
        <v>190.71886470643986</v>
      </c>
      <c r="C483">
        <v>82.340658700189721</v>
      </c>
      <c r="D483">
        <v>0</v>
      </c>
      <c r="E483">
        <v>846.79705000000001</v>
      </c>
      <c r="F483">
        <v>846.79705000000001</v>
      </c>
      <c r="G483">
        <v>0.49591002044989774</v>
      </c>
      <c r="H483">
        <v>1.3102297488166554</v>
      </c>
      <c r="I483">
        <v>7.6950978254907154E-2</v>
      </c>
      <c r="J483">
        <v>2.2259441702123423E-2</v>
      </c>
      <c r="K483">
        <v>2.9843026453120363E-18</v>
      </c>
      <c r="L483">
        <f t="shared" si="28"/>
        <v>2.927779336391596</v>
      </c>
      <c r="M483" t="s">
        <v>605</v>
      </c>
      <c r="N483">
        <v>336</v>
      </c>
      <c r="O483">
        <v>2</v>
      </c>
      <c r="P483">
        <v>1011</v>
      </c>
      <c r="Q483">
        <v>49.673304882947903</v>
      </c>
      <c r="R483">
        <v>62.694588234216603</v>
      </c>
      <c r="S483" t="s">
        <v>996</v>
      </c>
      <c r="T483">
        <v>0</v>
      </c>
      <c r="U483">
        <v>0</v>
      </c>
      <c r="V483">
        <v>0</v>
      </c>
      <c r="W483">
        <v>690.97704999999996</v>
      </c>
      <c r="X483">
        <v>9.0733242492231206E-2</v>
      </c>
      <c r="Y483">
        <v>11.766318321228029</v>
      </c>
      <c r="Z483">
        <v>13.528908729553221</v>
      </c>
      <c r="AA483">
        <f t="shared" si="29"/>
        <v>-0.29937091871404858</v>
      </c>
      <c r="AB483">
        <f t="shared" si="30"/>
        <v>-0.65888248885286649</v>
      </c>
      <c r="AC483" s="13">
        <f t="shared" si="31"/>
        <v>-0.40572174070062639</v>
      </c>
      <c r="AD483" s="13"/>
      <c r="AE483" s="13"/>
      <c r="AF483" s="13"/>
    </row>
    <row r="484" spans="1:32">
      <c r="A484" s="1" t="s">
        <v>997</v>
      </c>
      <c r="B484">
        <v>903.74818957595414</v>
      </c>
      <c r="C484">
        <v>60.022713003413457</v>
      </c>
      <c r="D484">
        <v>0</v>
      </c>
      <c r="E484">
        <v>861.92647333333343</v>
      </c>
      <c r="F484">
        <v>861.92647333333343</v>
      </c>
      <c r="G484">
        <v>0.47648902821316619</v>
      </c>
      <c r="H484">
        <v>12.891419273564409</v>
      </c>
      <c r="I484">
        <v>7.1247489510425491E-2</v>
      </c>
      <c r="J484">
        <v>4.1694290684091556E-2</v>
      </c>
      <c r="K484">
        <v>0</v>
      </c>
      <c r="L484">
        <f t="shared" si="28"/>
        <v>2.9354702198994724</v>
      </c>
      <c r="M484" t="s">
        <v>605</v>
      </c>
      <c r="N484">
        <v>329</v>
      </c>
      <c r="O484">
        <v>4</v>
      </c>
      <c r="P484">
        <v>990</v>
      </c>
      <c r="Q484">
        <v>101.45396209426301</v>
      </c>
      <c r="R484">
        <v>128.04894687836901</v>
      </c>
      <c r="S484" t="s">
        <v>998</v>
      </c>
      <c r="T484">
        <v>0</v>
      </c>
      <c r="U484">
        <v>0</v>
      </c>
      <c r="V484">
        <v>0</v>
      </c>
      <c r="W484">
        <v>1094.7644</v>
      </c>
      <c r="X484">
        <v>0.116964843648888</v>
      </c>
      <c r="AA484">
        <f t="shared" si="29"/>
        <v>-0.29837265562334625</v>
      </c>
      <c r="AB484">
        <f t="shared" si="30"/>
        <v>0.53356803839576405</v>
      </c>
      <c r="AC484" s="13">
        <f t="shared" si="31"/>
        <v>-0.35548231093540372</v>
      </c>
      <c r="AD484" s="13"/>
      <c r="AE484" s="13"/>
      <c r="AF484" s="13"/>
    </row>
    <row r="485" spans="1:32">
      <c r="A485" s="1" t="s">
        <v>999</v>
      </c>
      <c r="B485">
        <v>565.02485705476818</v>
      </c>
      <c r="C485">
        <v>152.45134921642949</v>
      </c>
      <c r="D485">
        <v>0</v>
      </c>
      <c r="E485">
        <v>885.83978666666655</v>
      </c>
      <c r="F485">
        <v>885.83978666666655</v>
      </c>
      <c r="G485">
        <v>0.54233654876741699</v>
      </c>
      <c r="H485">
        <v>7.9786245809941221</v>
      </c>
      <c r="I485">
        <v>7.7676474299778878E-2</v>
      </c>
      <c r="J485">
        <v>4.7238975192626952E-2</v>
      </c>
      <c r="K485">
        <v>0</v>
      </c>
      <c r="L485">
        <f t="shared" si="28"/>
        <v>2.9473551823178332</v>
      </c>
      <c r="M485" t="s">
        <v>605</v>
      </c>
      <c r="N485">
        <v>321</v>
      </c>
      <c r="O485">
        <v>68</v>
      </c>
      <c r="P485">
        <v>966</v>
      </c>
      <c r="Q485">
        <v>1767.5674762385599</v>
      </c>
      <c r="R485">
        <v>2230.9148819492302</v>
      </c>
      <c r="S485" t="s">
        <v>1000</v>
      </c>
      <c r="T485">
        <v>0</v>
      </c>
      <c r="U485">
        <v>0</v>
      </c>
      <c r="V485">
        <v>0</v>
      </c>
      <c r="W485">
        <v>1250.5808</v>
      </c>
      <c r="X485">
        <v>1.7839030328542</v>
      </c>
      <c r="Y485">
        <v>11.193795204162599</v>
      </c>
      <c r="Z485">
        <v>11.413676261901861</v>
      </c>
      <c r="AA485">
        <f t="shared" si="29"/>
        <v>-0.29679481768787963</v>
      </c>
      <c r="AB485">
        <f t="shared" si="30"/>
        <v>2.7724954755587679E-2</v>
      </c>
      <c r="AC485" s="13">
        <f t="shared" si="31"/>
        <v>1.2610401007664225</v>
      </c>
      <c r="AD485" s="13"/>
      <c r="AE485" s="13"/>
      <c r="AF485" s="13"/>
    </row>
    <row r="486" spans="1:32">
      <c r="A486" s="1" t="s">
        <v>1001</v>
      </c>
      <c r="B486">
        <v>398.46116200590308</v>
      </c>
      <c r="C486">
        <v>122.76678887951768</v>
      </c>
      <c r="D486">
        <v>1446.1112866666665</v>
      </c>
      <c r="E486">
        <v>2332.8382333333334</v>
      </c>
      <c r="F486">
        <v>886.72694666666666</v>
      </c>
      <c r="G486">
        <v>0.49206349206349204</v>
      </c>
      <c r="H486">
        <v>3.7564005955149575</v>
      </c>
      <c r="I486">
        <v>16.83904603782074</v>
      </c>
      <c r="J486">
        <v>3.610170551141517</v>
      </c>
      <c r="K486">
        <v>0</v>
      </c>
      <c r="L486">
        <f t="shared" si="28"/>
        <v>2.9477899064018307</v>
      </c>
      <c r="M486" t="s">
        <v>605</v>
      </c>
      <c r="N486">
        <v>325</v>
      </c>
      <c r="O486">
        <v>8</v>
      </c>
      <c r="P486">
        <v>978</v>
      </c>
      <c r="Q486">
        <v>205.39759196998099</v>
      </c>
      <c r="R486">
        <v>259.24019920160703</v>
      </c>
      <c r="S486" t="s">
        <v>1002</v>
      </c>
      <c r="T486">
        <v>0</v>
      </c>
      <c r="U486">
        <v>0</v>
      </c>
      <c r="V486">
        <v>0</v>
      </c>
      <c r="W486">
        <v>4333.4745999999996</v>
      </c>
      <c r="X486">
        <v>5.9822711133834097E-2</v>
      </c>
      <c r="Y486">
        <v>9.2798976898193359</v>
      </c>
      <c r="Z486">
        <v>12.906546592712401</v>
      </c>
      <c r="AA486">
        <f t="shared" si="29"/>
        <v>-0.29673628147906084</v>
      </c>
      <c r="AB486">
        <f t="shared" si="30"/>
        <v>-0.40701391268869636</v>
      </c>
      <c r="AC486" s="13">
        <f t="shared" si="31"/>
        <v>-0.25463251539549114</v>
      </c>
      <c r="AD486" s="13"/>
      <c r="AE486" s="13"/>
      <c r="AF486" s="13"/>
    </row>
    <row r="487" spans="1:32">
      <c r="A487" s="1" t="s">
        <v>1003</v>
      </c>
      <c r="B487">
        <v>805.70206221940953</v>
      </c>
      <c r="C487">
        <v>223.93036182247914</v>
      </c>
      <c r="D487">
        <v>11.743848</v>
      </c>
      <c r="E487">
        <v>910.59473333333335</v>
      </c>
      <c r="F487">
        <v>898.85088533333328</v>
      </c>
      <c r="G487">
        <v>0.54340836012861737</v>
      </c>
      <c r="H487">
        <v>12.049147372958464</v>
      </c>
      <c r="I487">
        <v>0.92850837356821592</v>
      </c>
      <c r="J487">
        <v>0.43426055609093434</v>
      </c>
      <c r="K487">
        <v>0</v>
      </c>
      <c r="L487">
        <f t="shared" si="28"/>
        <v>2.9536876505227134</v>
      </c>
      <c r="M487" t="s">
        <v>605</v>
      </c>
      <c r="N487">
        <v>321</v>
      </c>
      <c r="O487">
        <v>0</v>
      </c>
      <c r="P487">
        <v>966</v>
      </c>
      <c r="Q487">
        <v>0</v>
      </c>
      <c r="R487">
        <v>0</v>
      </c>
      <c r="S487" t="s">
        <v>1004</v>
      </c>
      <c r="T487">
        <v>0</v>
      </c>
      <c r="U487">
        <v>0</v>
      </c>
      <c r="W487">
        <v>1222.7295999999999</v>
      </c>
      <c r="X487">
        <v>0</v>
      </c>
      <c r="Y487">
        <v>12.586513519287109</v>
      </c>
      <c r="Z487">
        <v>11.17741775512695</v>
      </c>
      <c r="AA487">
        <f t="shared" si="29"/>
        <v>-0.2959363249824899</v>
      </c>
      <c r="AB487">
        <f t="shared" si="30"/>
        <v>0.44684399594588964</v>
      </c>
      <c r="AC487" s="13">
        <f t="shared" si="31"/>
        <v>-0.45391654251028785</v>
      </c>
      <c r="AD487" s="13"/>
      <c r="AE487" s="13"/>
      <c r="AF487" s="13"/>
    </row>
    <row r="488" spans="1:32">
      <c r="A488" s="1" t="s">
        <v>1005</v>
      </c>
      <c r="B488">
        <v>157.33333779135938</v>
      </c>
      <c r="C488">
        <v>48.026809917701961</v>
      </c>
      <c r="D488">
        <v>483.60863666666665</v>
      </c>
      <c r="E488">
        <v>1383.1711000000003</v>
      </c>
      <c r="F488">
        <v>899.56246333333331</v>
      </c>
      <c r="G488">
        <v>0.52350427350427342</v>
      </c>
      <c r="H488">
        <v>0.68569616579182535</v>
      </c>
      <c r="I488">
        <v>0.6357862262955245</v>
      </c>
      <c r="J488">
        <v>0.27373347940712345</v>
      </c>
      <c r="K488">
        <v>1</v>
      </c>
      <c r="L488">
        <f t="shared" si="28"/>
        <v>2.9540313250346935</v>
      </c>
      <c r="M488" t="s">
        <v>605</v>
      </c>
      <c r="N488">
        <v>322</v>
      </c>
      <c r="O488">
        <v>19</v>
      </c>
      <c r="P488">
        <v>969</v>
      </c>
      <c r="Q488">
        <v>492.35011016333698</v>
      </c>
      <c r="R488">
        <v>621.41400690973501</v>
      </c>
      <c r="S488" t="s">
        <v>1006</v>
      </c>
      <c r="T488">
        <v>1</v>
      </c>
      <c r="U488">
        <v>122.44398187829</v>
      </c>
      <c r="V488">
        <v>0.256649030436996</v>
      </c>
      <c r="W488">
        <v>1663.4545000000001</v>
      </c>
      <c r="X488">
        <v>0.37356838248941299</v>
      </c>
      <c r="Y488">
        <v>13.00713443756104</v>
      </c>
      <c r="Z488">
        <v>10.55866718292236</v>
      </c>
      <c r="AA488">
        <f t="shared" si="29"/>
        <v>-0.29588937394953208</v>
      </c>
      <c r="AB488">
        <f t="shared" si="30"/>
        <v>-0.72318723050060807</v>
      </c>
      <c r="AC488" s="13">
        <f t="shared" si="31"/>
        <v>2.3778993073710338E-2</v>
      </c>
      <c r="AD488" s="13"/>
      <c r="AE488" s="13"/>
      <c r="AF488" s="13"/>
    </row>
    <row r="489" spans="1:32">
      <c r="A489" s="1" t="s">
        <v>1007</v>
      </c>
      <c r="B489">
        <v>788.9588986709656</v>
      </c>
      <c r="C489">
        <v>132.57867913734532</v>
      </c>
      <c r="D489">
        <v>48.443309999999997</v>
      </c>
      <c r="E489">
        <v>953.3675333333332</v>
      </c>
      <c r="F489">
        <v>904.92422333333332</v>
      </c>
      <c r="G489">
        <v>0.44234800838574423</v>
      </c>
      <c r="H489">
        <v>17.067213720077234</v>
      </c>
      <c r="I489">
        <v>0.80614069930624399</v>
      </c>
      <c r="J489">
        <v>0.36819941130740319</v>
      </c>
      <c r="K489">
        <v>0</v>
      </c>
      <c r="L489">
        <f t="shared" si="28"/>
        <v>2.9566122137178694</v>
      </c>
      <c r="M489" t="s">
        <v>605</v>
      </c>
      <c r="N489">
        <v>328</v>
      </c>
      <c r="O489">
        <v>0</v>
      </c>
      <c r="P489">
        <v>987</v>
      </c>
      <c r="Q489">
        <v>0</v>
      </c>
      <c r="R489">
        <v>0</v>
      </c>
      <c r="S489" t="s">
        <v>1008</v>
      </c>
      <c r="T489">
        <v>0</v>
      </c>
      <c r="U489">
        <v>0</v>
      </c>
      <c r="W489">
        <v>1165.8518999999999</v>
      </c>
      <c r="X489">
        <v>0</v>
      </c>
      <c r="Y489">
        <v>13.64202308654785</v>
      </c>
      <c r="Z489">
        <v>11.63897228240967</v>
      </c>
      <c r="AA489">
        <f t="shared" si="29"/>
        <v>-0.29553559661173945</v>
      </c>
      <c r="AB489">
        <f t="shared" si="30"/>
        <v>0.96352631502923258</v>
      </c>
      <c r="AC489" s="13">
        <f t="shared" si="31"/>
        <v>-0.45391654251028785</v>
      </c>
      <c r="AD489" s="13"/>
      <c r="AE489" s="13"/>
      <c r="AF489" s="13"/>
    </row>
    <row r="490" spans="1:32">
      <c r="A490" s="1" t="s">
        <v>1009</v>
      </c>
      <c r="B490">
        <v>267.20273335079247</v>
      </c>
      <c r="C490">
        <v>106.00884801920486</v>
      </c>
      <c r="D490">
        <v>19.972620066666668</v>
      </c>
      <c r="E490">
        <v>925.0384333333335</v>
      </c>
      <c r="F490">
        <v>905.06581326666674</v>
      </c>
      <c r="G490">
        <v>0.4757481940144479</v>
      </c>
      <c r="H490">
        <v>2.4916068709009305</v>
      </c>
      <c r="I490">
        <v>7.7435354972769668E-2</v>
      </c>
      <c r="J490">
        <v>3.4956876005752403E-2</v>
      </c>
      <c r="K490">
        <v>0</v>
      </c>
      <c r="L490">
        <f t="shared" si="28"/>
        <v>2.956680160751413</v>
      </c>
      <c r="M490" t="s">
        <v>605</v>
      </c>
      <c r="N490">
        <v>333</v>
      </c>
      <c r="O490">
        <v>17</v>
      </c>
      <c r="P490">
        <v>1002</v>
      </c>
      <c r="Q490">
        <v>426.01551448264797</v>
      </c>
      <c r="R490">
        <v>537.69056286500995</v>
      </c>
      <c r="S490" t="s">
        <v>1010</v>
      </c>
      <c r="T490">
        <v>0</v>
      </c>
      <c r="U490">
        <v>0</v>
      </c>
      <c r="V490">
        <v>0</v>
      </c>
      <c r="W490">
        <v>671.08140000000003</v>
      </c>
      <c r="X490">
        <v>0.80123001898877</v>
      </c>
      <c r="Y490">
        <v>9.7345094680786133</v>
      </c>
      <c r="Z490">
        <v>12.044669151306151</v>
      </c>
      <c r="AA490">
        <f t="shared" si="29"/>
        <v>-0.29552625428577317</v>
      </c>
      <c r="AB490">
        <f t="shared" si="30"/>
        <v>-0.53724267205351683</v>
      </c>
      <c r="AC490" s="13">
        <f t="shared" si="31"/>
        <v>-4.0581183876229436E-2</v>
      </c>
      <c r="AD490" s="13"/>
      <c r="AE490" s="13"/>
      <c r="AF490" s="13"/>
    </row>
    <row r="491" spans="1:32">
      <c r="A491" s="1" t="s">
        <v>1011</v>
      </c>
      <c r="B491">
        <v>666.38632322883768</v>
      </c>
      <c r="C491">
        <v>130.65858511614221</v>
      </c>
      <c r="D491">
        <v>2946.86825</v>
      </c>
      <c r="E491">
        <v>3898.3854666666666</v>
      </c>
      <c r="F491">
        <v>951.51721666666674</v>
      </c>
      <c r="G491">
        <v>0.51111111111111107</v>
      </c>
      <c r="H491">
        <v>8.5844953686193683</v>
      </c>
      <c r="I491">
        <v>6.5282647545900643E-2</v>
      </c>
      <c r="J491">
        <v>3.952931980850518E-2</v>
      </c>
      <c r="K491">
        <v>0</v>
      </c>
      <c r="L491">
        <f t="shared" si="28"/>
        <v>2.9784166507793026</v>
      </c>
      <c r="M491" t="s">
        <v>605</v>
      </c>
      <c r="N491">
        <v>325</v>
      </c>
      <c r="O491">
        <v>6</v>
      </c>
      <c r="P491">
        <v>978</v>
      </c>
      <c r="Q491">
        <v>154.048193977485</v>
      </c>
      <c r="R491">
        <v>194.430149401205</v>
      </c>
      <c r="S491" t="s">
        <v>1012</v>
      </c>
      <c r="T491">
        <v>0</v>
      </c>
      <c r="U491">
        <v>0</v>
      </c>
      <c r="V491">
        <v>0</v>
      </c>
      <c r="W491">
        <v>6207.2719999999999</v>
      </c>
      <c r="X491">
        <v>3.1322962712316299E-2</v>
      </c>
      <c r="Y491">
        <v>12.504716873168951</v>
      </c>
      <c r="Z491">
        <v>12.209455490112299</v>
      </c>
      <c r="AA491">
        <f t="shared" si="29"/>
        <v>-0.29246131780380019</v>
      </c>
      <c r="AB491">
        <f t="shared" si="30"/>
        <v>9.0108092394810782E-2</v>
      </c>
      <c r="AC491" s="13">
        <f t="shared" si="31"/>
        <v>-0.30445352217419108</v>
      </c>
      <c r="AD491" s="13"/>
      <c r="AE491" s="13"/>
      <c r="AF491" s="13"/>
    </row>
    <row r="492" spans="1:32">
      <c r="A492" s="1" t="s">
        <v>1013</v>
      </c>
      <c r="B492">
        <v>844.76160510220677</v>
      </c>
      <c r="C492">
        <v>79.224429841792841</v>
      </c>
      <c r="D492">
        <v>70.463196666666661</v>
      </c>
      <c r="E492">
        <v>1056.6070133333333</v>
      </c>
      <c r="F492">
        <v>986.14381666666668</v>
      </c>
      <c r="G492">
        <v>0.48087431693989069</v>
      </c>
      <c r="H492">
        <v>19.43616125498605</v>
      </c>
      <c r="I492">
        <v>0.41591042925456695</v>
      </c>
      <c r="J492">
        <v>0.16621021119373933</v>
      </c>
      <c r="K492">
        <v>0</v>
      </c>
      <c r="L492">
        <f t="shared" si="28"/>
        <v>2.9939402559453732</v>
      </c>
      <c r="M492" t="s">
        <v>605</v>
      </c>
      <c r="N492">
        <v>315</v>
      </c>
      <c r="O492">
        <v>0</v>
      </c>
      <c r="P492">
        <v>948</v>
      </c>
      <c r="Q492">
        <v>0</v>
      </c>
      <c r="R492">
        <v>0</v>
      </c>
      <c r="S492" t="s">
        <v>1014</v>
      </c>
      <c r="T492">
        <v>0</v>
      </c>
      <c r="U492">
        <v>0</v>
      </c>
      <c r="W492">
        <v>1214.1946</v>
      </c>
      <c r="X492">
        <v>0</v>
      </c>
      <c r="Y492">
        <v>11.87954044342041</v>
      </c>
      <c r="Z492">
        <v>10.96148014068604</v>
      </c>
      <c r="AA492">
        <f t="shared" si="29"/>
        <v>-0.29017660040413856</v>
      </c>
      <c r="AB492">
        <f t="shared" si="30"/>
        <v>1.2074436372516135</v>
      </c>
      <c r="AC492" s="13">
        <f t="shared" si="31"/>
        <v>-0.45391654251028785</v>
      </c>
      <c r="AD492" s="13"/>
      <c r="AE492" s="13"/>
      <c r="AF492" s="13"/>
    </row>
    <row r="493" spans="1:32">
      <c r="A493" s="1" t="s">
        <v>1015</v>
      </c>
      <c r="B493">
        <v>629.67925420835877</v>
      </c>
      <c r="C493">
        <v>103.37039331625645</v>
      </c>
      <c r="D493">
        <v>367.5011736666666</v>
      </c>
      <c r="E493">
        <v>1438.1984666666667</v>
      </c>
      <c r="F493">
        <v>1070.6972929999999</v>
      </c>
      <c r="G493">
        <v>0.45659163987138263</v>
      </c>
      <c r="H493">
        <v>16.878542954733586</v>
      </c>
      <c r="I493">
        <v>8.8341968114183503E-2</v>
      </c>
      <c r="J493">
        <v>3.9195033234845918E-2</v>
      </c>
      <c r="K493">
        <v>0</v>
      </c>
      <c r="L493">
        <f t="shared" si="28"/>
        <v>3.0296667046678056</v>
      </c>
      <c r="M493" t="s">
        <v>605</v>
      </c>
      <c r="N493">
        <v>321</v>
      </c>
      <c r="O493">
        <v>5</v>
      </c>
      <c r="P493">
        <v>966</v>
      </c>
      <c r="Q493">
        <v>129.96819678224699</v>
      </c>
      <c r="R493">
        <v>164.037858966855</v>
      </c>
      <c r="S493" t="s">
        <v>1016</v>
      </c>
      <c r="T493">
        <v>0</v>
      </c>
      <c r="U493">
        <v>0</v>
      </c>
      <c r="V493">
        <v>0</v>
      </c>
      <c r="W493">
        <v>1788.588</v>
      </c>
      <c r="X493">
        <v>9.17136081461217E-2</v>
      </c>
      <c r="AA493">
        <f t="shared" si="29"/>
        <v>-0.28459762936509198</v>
      </c>
      <c r="AB493">
        <f t="shared" si="30"/>
        <v>0.94409993804699965</v>
      </c>
      <c r="AC493" s="13">
        <f t="shared" si="31"/>
        <v>-0.32781678932817687</v>
      </c>
      <c r="AD493" s="13"/>
      <c r="AE493" s="13"/>
      <c r="AF493" s="13"/>
    </row>
    <row r="494" spans="1:32">
      <c r="A494" s="1" t="s">
        <v>1017</v>
      </c>
      <c r="B494">
        <v>418.59093601692393</v>
      </c>
      <c r="C494">
        <v>111.83558037956732</v>
      </c>
      <c r="D494">
        <v>25.966411333333337</v>
      </c>
      <c r="E494">
        <v>1117.1630766666667</v>
      </c>
      <c r="F494">
        <v>1091.1966653333334</v>
      </c>
      <c r="G494">
        <v>0.50828729281767959</v>
      </c>
      <c r="H494">
        <v>3.4841467117871119</v>
      </c>
      <c r="I494">
        <v>7.8174248674071287E-2</v>
      </c>
      <c r="J494">
        <v>4.5123982160232411E-2</v>
      </c>
      <c r="K494">
        <v>0</v>
      </c>
      <c r="L494">
        <f t="shared" si="28"/>
        <v>3.0379030301225711</v>
      </c>
      <c r="M494" t="s">
        <v>605</v>
      </c>
      <c r="N494">
        <v>372</v>
      </c>
      <c r="O494">
        <v>10</v>
      </c>
      <c r="P494">
        <v>1119</v>
      </c>
      <c r="Q494">
        <v>224.39549256774001</v>
      </c>
      <c r="R494">
        <v>283.21818009290803</v>
      </c>
      <c r="S494" t="s">
        <v>1018</v>
      </c>
      <c r="T494">
        <v>0</v>
      </c>
      <c r="U494">
        <v>0</v>
      </c>
      <c r="V494">
        <v>0</v>
      </c>
      <c r="W494">
        <v>1163.0099</v>
      </c>
      <c r="X494">
        <v>0.24352172762494001</v>
      </c>
      <c r="Y494">
        <v>12.086446762084959</v>
      </c>
      <c r="Z494">
        <v>12.39930629730225</v>
      </c>
      <c r="AA494">
        <f t="shared" si="29"/>
        <v>-0.28324504861352789</v>
      </c>
      <c r="AB494">
        <f t="shared" si="30"/>
        <v>-0.4350463774457074</v>
      </c>
      <c r="AC494" s="13">
        <f t="shared" si="31"/>
        <v>-0.2362000785712009</v>
      </c>
      <c r="AD494" s="13"/>
      <c r="AE494" s="13"/>
      <c r="AF494" s="13"/>
    </row>
    <row r="495" spans="1:32">
      <c r="A495" s="1" t="s">
        <v>1019</v>
      </c>
      <c r="B495">
        <v>279.21675071193164</v>
      </c>
      <c r="C495">
        <v>106.08350148101094</v>
      </c>
      <c r="D495">
        <v>13241.028666666667</v>
      </c>
      <c r="E495">
        <v>14337.13</v>
      </c>
      <c r="F495">
        <v>1096.1013333333328</v>
      </c>
      <c r="G495">
        <v>0.51008645533141217</v>
      </c>
      <c r="H495">
        <v>2.2752107752442283</v>
      </c>
      <c r="I495">
        <v>7.7213088949145595E-2</v>
      </c>
      <c r="J495">
        <v>1.8880802643301758E-2</v>
      </c>
      <c r="K495">
        <v>0</v>
      </c>
      <c r="L495">
        <f t="shared" si="28"/>
        <v>3.0398507060399274</v>
      </c>
      <c r="M495" t="s">
        <v>605</v>
      </c>
      <c r="N495">
        <v>357</v>
      </c>
      <c r="O495">
        <v>2</v>
      </c>
      <c r="P495">
        <v>1074</v>
      </c>
      <c r="Q495">
        <v>46.759507669143701</v>
      </c>
      <c r="R495">
        <v>59.016972723270896</v>
      </c>
      <c r="S495" t="s">
        <v>1020</v>
      </c>
      <c r="T495">
        <v>0</v>
      </c>
      <c r="U495">
        <v>0</v>
      </c>
      <c r="V495">
        <v>0</v>
      </c>
      <c r="W495">
        <v>14382.32</v>
      </c>
      <c r="X495">
        <v>4.1034389947707198E-3</v>
      </c>
      <c r="Y495">
        <v>9.4785690307617188</v>
      </c>
      <c r="Z495">
        <v>12.88638877868652</v>
      </c>
      <c r="AA495">
        <f t="shared" si="29"/>
        <v>-0.28292143092310595</v>
      </c>
      <c r="AB495">
        <f t="shared" si="30"/>
        <v>-0.55952377174616696</v>
      </c>
      <c r="AC495" s="13">
        <f t="shared" si="31"/>
        <v>-0.40854881008052268</v>
      </c>
      <c r="AD495" s="13"/>
      <c r="AE495" s="13"/>
      <c r="AF495" s="13"/>
    </row>
    <row r="496" spans="1:32">
      <c r="A496" s="1" t="s">
        <v>1021</v>
      </c>
      <c r="B496">
        <v>1207.9815990704244</v>
      </c>
      <c r="C496">
        <v>361.56034991453788</v>
      </c>
      <c r="D496">
        <v>19.817693333333334</v>
      </c>
      <c r="E496">
        <v>1134.9184399999999</v>
      </c>
      <c r="F496">
        <v>1115.1007466666667</v>
      </c>
      <c r="G496">
        <v>0.46494066882416396</v>
      </c>
      <c r="H496">
        <v>14.188144819049903</v>
      </c>
      <c r="I496">
        <v>8.0322704413055016E-2</v>
      </c>
      <c r="J496">
        <v>3.975524107624985E-2</v>
      </c>
      <c r="K496">
        <v>0</v>
      </c>
      <c r="L496">
        <f t="shared" si="28"/>
        <v>3.047314106617204</v>
      </c>
      <c r="M496" t="s">
        <v>605</v>
      </c>
      <c r="N496">
        <v>319</v>
      </c>
      <c r="O496">
        <v>13</v>
      </c>
      <c r="P496">
        <v>960</v>
      </c>
      <c r="Q496">
        <v>340.02929483155401</v>
      </c>
      <c r="R496">
        <v>429.16404852203601</v>
      </c>
      <c r="S496" t="s">
        <v>1022</v>
      </c>
      <c r="T496">
        <v>0</v>
      </c>
      <c r="U496">
        <v>0</v>
      </c>
      <c r="V496">
        <v>0</v>
      </c>
      <c r="W496">
        <v>1275.336</v>
      </c>
      <c r="X496">
        <v>0.33651057330933598</v>
      </c>
      <c r="Y496">
        <v>11.671443939208981</v>
      </c>
      <c r="Z496">
        <v>11.0988712310791</v>
      </c>
      <c r="AA496">
        <f t="shared" si="29"/>
        <v>-0.28166781981990691</v>
      </c>
      <c r="AB496">
        <f t="shared" si="30"/>
        <v>0.66708463935516549</v>
      </c>
      <c r="AC496" s="13">
        <f t="shared" si="31"/>
        <v>-0.12400806324758967</v>
      </c>
      <c r="AD496" s="13"/>
      <c r="AE496" s="13"/>
      <c r="AF496" s="13"/>
    </row>
    <row r="497" spans="1:32">
      <c r="A497" s="1" t="s">
        <v>1023</v>
      </c>
      <c r="B497">
        <v>607.76882368469489</v>
      </c>
      <c r="C497">
        <v>153.93567607641691</v>
      </c>
      <c r="D497">
        <v>40.369476666666664</v>
      </c>
      <c r="E497">
        <v>1182.5286133333332</v>
      </c>
      <c r="F497">
        <v>1142.1591366666667</v>
      </c>
      <c r="G497">
        <v>0.50105485232067515</v>
      </c>
      <c r="H497">
        <v>7.0701990121649665</v>
      </c>
      <c r="I497">
        <v>6.5237809674089278E-2</v>
      </c>
      <c r="J497">
        <v>3.0059843553081198E-2</v>
      </c>
      <c r="K497">
        <v>0</v>
      </c>
      <c r="L497">
        <f t="shared" si="28"/>
        <v>3.0577266182367029</v>
      </c>
      <c r="M497" t="s">
        <v>605</v>
      </c>
      <c r="N497">
        <v>326</v>
      </c>
      <c r="O497">
        <v>3</v>
      </c>
      <c r="P497">
        <v>981</v>
      </c>
      <c r="Q497">
        <v>76.788549291529606</v>
      </c>
      <c r="R497">
        <v>96.917780894178804</v>
      </c>
      <c r="S497" t="s">
        <v>1024</v>
      </c>
      <c r="T497">
        <v>0</v>
      </c>
      <c r="U497">
        <v>0</v>
      </c>
      <c r="V497">
        <v>0</v>
      </c>
      <c r="W497">
        <v>983.86584000000005</v>
      </c>
      <c r="X497">
        <v>9.8507110374092099E-2</v>
      </c>
      <c r="Y497">
        <v>11.736180305480961</v>
      </c>
      <c r="Z497">
        <v>11.51398277282715</v>
      </c>
      <c r="AA497">
        <f t="shared" si="29"/>
        <v>-0.27988246479111883</v>
      </c>
      <c r="AB497">
        <f t="shared" si="30"/>
        <v>-6.5810562144612408E-2</v>
      </c>
      <c r="AC497" s="13">
        <f t="shared" si="31"/>
        <v>-0.37941356907058177</v>
      </c>
      <c r="AD497" s="13"/>
      <c r="AE497" s="13"/>
      <c r="AF497" s="13"/>
    </row>
    <row r="498" spans="1:32">
      <c r="A498" s="1" t="s">
        <v>1025</v>
      </c>
      <c r="B498">
        <v>849.24331474699841</v>
      </c>
      <c r="C498">
        <v>224.10073822653808</v>
      </c>
      <c r="D498">
        <v>272.80342333333334</v>
      </c>
      <c r="E498">
        <v>1424.4382566666666</v>
      </c>
      <c r="F498">
        <v>1151.6348333333333</v>
      </c>
      <c r="G498">
        <v>0.39451476793248946</v>
      </c>
      <c r="H498">
        <v>14.555312106708135</v>
      </c>
      <c r="I498">
        <v>7.8554453756419729E-2</v>
      </c>
      <c r="J498">
        <v>3.6966830169428963E-2</v>
      </c>
      <c r="K498">
        <v>0</v>
      </c>
      <c r="L498">
        <f t="shared" si="28"/>
        <v>3.0613147924475039</v>
      </c>
      <c r="M498" t="s">
        <v>605</v>
      </c>
      <c r="N498">
        <v>326</v>
      </c>
      <c r="O498">
        <v>37</v>
      </c>
      <c r="P498">
        <v>981</v>
      </c>
      <c r="Q498">
        <v>947.05877459553199</v>
      </c>
      <c r="R498">
        <v>1195.3192976948701</v>
      </c>
      <c r="S498" t="s">
        <v>1026</v>
      </c>
      <c r="T498">
        <v>0</v>
      </c>
      <c r="U498">
        <v>0</v>
      </c>
      <c r="V498">
        <v>0</v>
      </c>
      <c r="W498">
        <v>1424.6075000000001</v>
      </c>
      <c r="X498">
        <v>0.83905166699941702</v>
      </c>
      <c r="Y498">
        <v>12.279905319213871</v>
      </c>
      <c r="Z498">
        <v>11.131272315979</v>
      </c>
      <c r="AA498">
        <f t="shared" si="29"/>
        <v>-0.27925724345699282</v>
      </c>
      <c r="AB498">
        <f t="shared" si="30"/>
        <v>0.70488980823016878</v>
      </c>
      <c r="AC498" s="13">
        <f t="shared" si="31"/>
        <v>0.46495346324608788</v>
      </c>
      <c r="AD498" s="13"/>
      <c r="AE498" s="13"/>
      <c r="AF498" s="13"/>
    </row>
    <row r="499" spans="1:32">
      <c r="A499" s="1" t="s">
        <v>1027</v>
      </c>
      <c r="B499">
        <v>604.40035309516531</v>
      </c>
      <c r="C499">
        <v>246.8829578699474</v>
      </c>
      <c r="D499">
        <v>1.4679798999999998</v>
      </c>
      <c r="E499">
        <v>1159.6225999999999</v>
      </c>
      <c r="F499">
        <v>1158.1546201000001</v>
      </c>
      <c r="G499">
        <v>0.48981779206859599</v>
      </c>
      <c r="H499">
        <v>6.9603621806327576</v>
      </c>
      <c r="I499">
        <v>8.0323001573831057E-2</v>
      </c>
      <c r="J499">
        <v>3.8958407625693567E-2</v>
      </c>
      <c r="K499">
        <v>0</v>
      </c>
      <c r="L499">
        <f t="shared" si="28"/>
        <v>3.0637665439972279</v>
      </c>
      <c r="M499" t="s">
        <v>605</v>
      </c>
      <c r="N499">
        <v>321</v>
      </c>
      <c r="O499">
        <v>36</v>
      </c>
      <c r="P499">
        <v>966</v>
      </c>
      <c r="Q499">
        <v>935.77101683218098</v>
      </c>
      <c r="R499">
        <v>1181.0725845613599</v>
      </c>
      <c r="S499" t="s">
        <v>1028</v>
      </c>
      <c r="T499">
        <v>0</v>
      </c>
      <c r="U499">
        <v>0</v>
      </c>
      <c r="V499">
        <v>0</v>
      </c>
      <c r="W499">
        <v>1167.2706000000001</v>
      </c>
      <c r="X499">
        <v>1.01182415162461</v>
      </c>
      <c r="Y499">
        <v>11.3459005355835</v>
      </c>
      <c r="Z499">
        <v>12.2903299331665</v>
      </c>
      <c r="AA499">
        <f t="shared" si="29"/>
        <v>-0.27882705769610705</v>
      </c>
      <c r="AB499">
        <f t="shared" si="30"/>
        <v>-7.711984841369747E-2</v>
      </c>
      <c r="AC499" s="13">
        <f t="shared" si="31"/>
        <v>0.45400168040091382</v>
      </c>
      <c r="AD499" s="13"/>
      <c r="AE499" s="13"/>
      <c r="AF499" s="13"/>
    </row>
    <row r="500" spans="1:32">
      <c r="A500" s="1" t="s">
        <v>1029</v>
      </c>
      <c r="B500">
        <v>325.83728117509395</v>
      </c>
      <c r="C500">
        <v>139.73265473194655</v>
      </c>
      <c r="D500">
        <v>670.94769666666673</v>
      </c>
      <c r="E500">
        <v>1851.415</v>
      </c>
      <c r="F500">
        <v>1180.4673033333331</v>
      </c>
      <c r="G500">
        <v>0.51419558359621453</v>
      </c>
      <c r="H500">
        <v>2.1301022222420789</v>
      </c>
      <c r="I500">
        <v>8.1478325923801276E-2</v>
      </c>
      <c r="J500">
        <v>3.5530227966157145E-2</v>
      </c>
      <c r="K500">
        <v>0</v>
      </c>
      <c r="L500">
        <f t="shared" si="28"/>
        <v>3.072053962462129</v>
      </c>
      <c r="M500" t="s">
        <v>605</v>
      </c>
      <c r="N500">
        <v>327</v>
      </c>
      <c r="O500">
        <v>13</v>
      </c>
      <c r="P500">
        <v>984</v>
      </c>
      <c r="Q500">
        <v>331.73589739663799</v>
      </c>
      <c r="R500">
        <v>418.69663270442499</v>
      </c>
      <c r="S500" t="s">
        <v>1030</v>
      </c>
      <c r="T500">
        <v>4</v>
      </c>
      <c r="U500">
        <v>489.775927513162</v>
      </c>
      <c r="V500">
        <v>1.5004097164009</v>
      </c>
      <c r="W500">
        <v>1327.3613</v>
      </c>
      <c r="X500">
        <v>0.31543531719994</v>
      </c>
      <c r="Y500">
        <v>12.82326126098633</v>
      </c>
      <c r="Z500">
        <v>11.41810321807861</v>
      </c>
      <c r="AA500">
        <f t="shared" si="29"/>
        <v>-0.27735483184614385</v>
      </c>
      <c r="AB500">
        <f t="shared" si="30"/>
        <v>-0.57446479055653554</v>
      </c>
      <c r="AC500" s="13">
        <f t="shared" si="31"/>
        <v>-0.1320546115222897</v>
      </c>
      <c r="AD500" s="13"/>
      <c r="AE500" s="13"/>
      <c r="AF500" s="13"/>
    </row>
    <row r="501" spans="1:32">
      <c r="A501" s="1" t="s">
        <v>1031</v>
      </c>
      <c r="B501">
        <v>1099.3812488487129</v>
      </c>
      <c r="C501">
        <v>260.53479742013013</v>
      </c>
      <c r="D501">
        <v>439.85257000000001</v>
      </c>
      <c r="E501">
        <v>1626.4704666666669</v>
      </c>
      <c r="F501">
        <v>1186.6178966666666</v>
      </c>
      <c r="G501">
        <v>0.52916666666666667</v>
      </c>
      <c r="H501">
        <v>13.336854640522516</v>
      </c>
      <c r="I501">
        <v>8.6453080676486105E-2</v>
      </c>
      <c r="J501">
        <v>4.6444806216956992E-2</v>
      </c>
      <c r="K501">
        <v>0</v>
      </c>
      <c r="L501">
        <f t="shared" si="28"/>
        <v>3.0743108941151762</v>
      </c>
      <c r="M501" t="s">
        <v>605</v>
      </c>
      <c r="N501">
        <v>330</v>
      </c>
      <c r="O501">
        <v>0</v>
      </c>
      <c r="P501">
        <v>993</v>
      </c>
      <c r="Q501">
        <v>0</v>
      </c>
      <c r="R501">
        <v>0</v>
      </c>
      <c r="S501" t="s">
        <v>1032</v>
      </c>
      <c r="T501">
        <v>0</v>
      </c>
      <c r="U501">
        <v>0</v>
      </c>
      <c r="W501">
        <v>2068.3980000000001</v>
      </c>
      <c r="X501">
        <v>0</v>
      </c>
      <c r="Y501">
        <v>11.54420185089111</v>
      </c>
      <c r="Z501">
        <v>11.47161197662354</v>
      </c>
      <c r="AA501">
        <f t="shared" si="29"/>
        <v>-0.27694900604728084</v>
      </c>
      <c r="AB501">
        <f t="shared" si="30"/>
        <v>0.57943203509915542</v>
      </c>
      <c r="AC501" s="13">
        <f t="shared" si="31"/>
        <v>-0.45391654251028785</v>
      </c>
      <c r="AD501" s="13"/>
      <c r="AE501" s="13"/>
      <c r="AF501" s="13"/>
    </row>
    <row r="502" spans="1:32">
      <c r="A502" s="1" t="s">
        <v>1033</v>
      </c>
      <c r="B502">
        <v>1044.5098015404735</v>
      </c>
      <c r="C502">
        <v>76.375306588623445</v>
      </c>
      <c r="D502">
        <v>0</v>
      </c>
      <c r="E502">
        <v>1192.5169333333333</v>
      </c>
      <c r="F502">
        <v>1192.5169333333333</v>
      </c>
      <c r="G502">
        <v>0.43051201671891326</v>
      </c>
      <c r="H502">
        <v>16.583510729697423</v>
      </c>
      <c r="I502">
        <v>8.1674954615505294E-2</v>
      </c>
      <c r="J502">
        <v>4.0909581910058355E-2</v>
      </c>
      <c r="K502">
        <v>0</v>
      </c>
      <c r="L502">
        <f t="shared" si="28"/>
        <v>3.0764645545893123</v>
      </c>
      <c r="M502" t="s">
        <v>605</v>
      </c>
      <c r="N502">
        <v>329</v>
      </c>
      <c r="O502">
        <v>0</v>
      </c>
      <c r="P502">
        <v>990</v>
      </c>
      <c r="Q502">
        <v>0</v>
      </c>
      <c r="R502">
        <v>0</v>
      </c>
      <c r="S502" t="s">
        <v>1034</v>
      </c>
      <c r="T502">
        <v>0</v>
      </c>
      <c r="U502">
        <v>0</v>
      </c>
      <c r="W502">
        <v>1356.3630000000001</v>
      </c>
      <c r="X502">
        <v>0</v>
      </c>
      <c r="AA502">
        <f t="shared" si="29"/>
        <v>-0.27655977835199524</v>
      </c>
      <c r="AB502">
        <f t="shared" si="30"/>
        <v>0.91372211446092277</v>
      </c>
      <c r="AC502" s="13">
        <f t="shared" si="31"/>
        <v>-0.45391654251028785</v>
      </c>
      <c r="AD502" s="13"/>
      <c r="AE502" s="13"/>
      <c r="AF502" s="13"/>
    </row>
    <row r="503" spans="1:32">
      <c r="A503" s="1" t="s">
        <v>1035</v>
      </c>
      <c r="B503">
        <v>165.21386113398151</v>
      </c>
      <c r="C503">
        <v>52.807872724467046</v>
      </c>
      <c r="D503">
        <v>576.02965666666671</v>
      </c>
      <c r="E503">
        <v>1795.6929666666667</v>
      </c>
      <c r="F503">
        <v>1219.6633099999999</v>
      </c>
      <c r="G503">
        <v>0.47942386831275718</v>
      </c>
      <c r="H503">
        <v>0.7502956107620018</v>
      </c>
      <c r="I503">
        <v>7.9569191602426689E-2</v>
      </c>
      <c r="J503">
        <v>4.4516784025643415E-2</v>
      </c>
      <c r="K503">
        <v>1</v>
      </c>
      <c r="L503">
        <f t="shared" si="28"/>
        <v>3.0862399595356109</v>
      </c>
      <c r="M503" t="s">
        <v>605</v>
      </c>
      <c r="N503">
        <v>334</v>
      </c>
      <c r="O503">
        <v>8</v>
      </c>
      <c r="P503">
        <v>1005</v>
      </c>
      <c r="Q503">
        <v>199.879447708101</v>
      </c>
      <c r="R503">
        <v>252.275537133504</v>
      </c>
      <c r="S503" t="s">
        <v>1036</v>
      </c>
      <c r="T503">
        <v>0</v>
      </c>
      <c r="U503">
        <v>0</v>
      </c>
      <c r="V503">
        <v>0</v>
      </c>
      <c r="W503">
        <v>1853.9458</v>
      </c>
      <c r="X503">
        <v>0.13607492577911601</v>
      </c>
      <c r="Y503">
        <v>11.717702865600589</v>
      </c>
      <c r="Z503">
        <v>11.90069675445557</v>
      </c>
      <c r="AA503">
        <f t="shared" si="29"/>
        <v>-0.27476861782488304</v>
      </c>
      <c r="AB503">
        <f t="shared" si="30"/>
        <v>-0.71653578575479437</v>
      </c>
      <c r="AC503" s="13">
        <f t="shared" si="31"/>
        <v>-0.25998641463141098</v>
      </c>
      <c r="AD503" s="13"/>
      <c r="AE503" s="13"/>
      <c r="AF503" s="13"/>
    </row>
    <row r="504" spans="1:32">
      <c r="A504" s="1" t="s">
        <v>1037</v>
      </c>
      <c r="B504">
        <v>1083.5028959497045</v>
      </c>
      <c r="C504">
        <v>128.3310704443123</v>
      </c>
      <c r="D504">
        <v>6404.2991666666667</v>
      </c>
      <c r="E504">
        <v>7760.4352333333336</v>
      </c>
      <c r="F504">
        <v>1356.1360666666671</v>
      </c>
      <c r="G504">
        <v>0.50860215053763447</v>
      </c>
      <c r="H504">
        <v>21.175408597782607</v>
      </c>
      <c r="I504">
        <v>0.10552334404256992</v>
      </c>
      <c r="J504">
        <v>5.1787528235367669E-2</v>
      </c>
      <c r="K504">
        <v>0</v>
      </c>
      <c r="L504">
        <f t="shared" si="28"/>
        <v>3.132303266255148</v>
      </c>
      <c r="M504" t="s">
        <v>605</v>
      </c>
      <c r="N504">
        <v>320</v>
      </c>
      <c r="O504">
        <v>8</v>
      </c>
      <c r="P504">
        <v>963</v>
      </c>
      <c r="Q504">
        <v>208.59693140876499</v>
      </c>
      <c r="R504">
        <v>263.27820853496502</v>
      </c>
      <c r="S504" t="s">
        <v>1038</v>
      </c>
      <c r="T504">
        <v>0</v>
      </c>
      <c r="U504">
        <v>0</v>
      </c>
      <c r="V504">
        <v>0</v>
      </c>
      <c r="W504">
        <v>9269.9500000000007</v>
      </c>
      <c r="X504">
        <v>2.8401254433407401E-2</v>
      </c>
      <c r="Y504">
        <v>9.6834716796875</v>
      </c>
      <c r="Z504">
        <v>12.591300964355471</v>
      </c>
      <c r="AA504">
        <f t="shared" si="29"/>
        <v>-0.26576393120430436</v>
      </c>
      <c r="AB504">
        <f t="shared" si="30"/>
        <v>1.3865242408892355</v>
      </c>
      <c r="AC504" s="13">
        <f t="shared" si="31"/>
        <v>-0.25152840282361033</v>
      </c>
      <c r="AD504" s="13"/>
      <c r="AE504" s="13"/>
      <c r="AF504" s="13"/>
    </row>
    <row r="505" spans="1:32">
      <c r="A505" s="1" t="s">
        <v>1039</v>
      </c>
      <c r="B505">
        <v>143.53552945873992</v>
      </c>
      <c r="C505">
        <v>20.30388989233435</v>
      </c>
      <c r="D505">
        <v>33.763641333333332</v>
      </c>
      <c r="E505">
        <v>1425.9359666666667</v>
      </c>
      <c r="F505">
        <v>1392.1723253333332</v>
      </c>
      <c r="G505">
        <v>0.45253164556962022</v>
      </c>
      <c r="H505">
        <v>0.29301568376701764</v>
      </c>
      <c r="I505">
        <v>7.7864189198274425E-2</v>
      </c>
      <c r="J505">
        <v>4.628098427322791E-2</v>
      </c>
      <c r="K505">
        <v>1</v>
      </c>
      <c r="L505">
        <f t="shared" si="28"/>
        <v>3.1436929962725775</v>
      </c>
      <c r="M505" t="s">
        <v>605</v>
      </c>
      <c r="N505">
        <v>326</v>
      </c>
      <c r="O505">
        <v>164</v>
      </c>
      <c r="P505">
        <v>981</v>
      </c>
      <c r="Q505">
        <v>4197.77402793695</v>
      </c>
      <c r="R505">
        <v>5298.1720222151098</v>
      </c>
      <c r="S505" t="s">
        <v>1040</v>
      </c>
      <c r="T505">
        <v>0</v>
      </c>
      <c r="U505">
        <v>0</v>
      </c>
      <c r="V505">
        <v>0</v>
      </c>
      <c r="W505">
        <v>1464.4213</v>
      </c>
      <c r="X505">
        <v>3.6179288174892701</v>
      </c>
      <c r="Y505">
        <v>13.469089508056641</v>
      </c>
      <c r="Z505">
        <v>11.22513961791992</v>
      </c>
      <c r="AA505">
        <f t="shared" si="29"/>
        <v>-0.26338620231395876</v>
      </c>
      <c r="AB505">
        <f t="shared" si="30"/>
        <v>-0.76361935077893739</v>
      </c>
      <c r="AC505" s="13">
        <f t="shared" si="31"/>
        <v>3.6189126721936455</v>
      </c>
      <c r="AD505" s="13"/>
      <c r="AE505" s="13"/>
      <c r="AF505" s="13"/>
    </row>
    <row r="506" spans="1:32">
      <c r="A506" s="1" t="s">
        <v>1041</v>
      </c>
      <c r="B506">
        <v>216.41112630555344</v>
      </c>
      <c r="C506">
        <v>65.590504422927111</v>
      </c>
      <c r="D506">
        <v>255.40093566666667</v>
      </c>
      <c r="E506">
        <v>1688.8587333333332</v>
      </c>
      <c r="F506">
        <v>1433.4577976666667</v>
      </c>
      <c r="G506">
        <v>0.47186147186147187</v>
      </c>
      <c r="H506">
        <v>1.8957792994767348</v>
      </c>
      <c r="I506">
        <v>6.1057473052705195E-2</v>
      </c>
      <c r="J506">
        <v>3.3756417003599083E-2</v>
      </c>
      <c r="K506">
        <v>3.4558142946188697E-211</v>
      </c>
      <c r="L506">
        <f t="shared" si="28"/>
        <v>3.1563849114364708</v>
      </c>
      <c r="M506" t="s">
        <v>605</v>
      </c>
      <c r="N506">
        <v>318</v>
      </c>
      <c r="O506">
        <v>7</v>
      </c>
      <c r="P506">
        <v>957</v>
      </c>
      <c r="Q506">
        <v>183.66665551547601</v>
      </c>
      <c r="R506">
        <v>231.81274865911701</v>
      </c>
      <c r="S506" t="s">
        <v>1042</v>
      </c>
      <c r="T506">
        <v>0</v>
      </c>
      <c r="U506">
        <v>0</v>
      </c>
      <c r="V506">
        <v>0</v>
      </c>
      <c r="W506">
        <v>2630.2766000000001</v>
      </c>
      <c r="X506">
        <v>8.8132460540126301E-2</v>
      </c>
      <c r="Y506">
        <v>12.503862380981451</v>
      </c>
      <c r="Z506">
        <v>10.987635612487789</v>
      </c>
      <c r="AA506">
        <f t="shared" si="29"/>
        <v>-0.26066212206948719</v>
      </c>
      <c r="AB506">
        <f t="shared" si="30"/>
        <v>-0.59859171570536296</v>
      </c>
      <c r="AC506" s="13">
        <f t="shared" si="31"/>
        <v>-0.27571664052127365</v>
      </c>
      <c r="AD506" s="13"/>
      <c r="AE506" s="13"/>
      <c r="AF506" s="13"/>
    </row>
    <row r="507" spans="1:32">
      <c r="A507" s="1" t="s">
        <v>1043</v>
      </c>
      <c r="B507">
        <v>185.05220933854994</v>
      </c>
      <c r="C507">
        <v>74.686185319996952</v>
      </c>
      <c r="D507">
        <v>151.62482</v>
      </c>
      <c r="E507">
        <v>1595.1456133333331</v>
      </c>
      <c r="F507">
        <v>1443.5207933333331</v>
      </c>
      <c r="G507">
        <v>0.45435244161358812</v>
      </c>
      <c r="H507">
        <v>0.86797720725247984</v>
      </c>
      <c r="I507">
        <v>0.15467801239565818</v>
      </c>
      <c r="J507">
        <v>2.2102231167448388E-2</v>
      </c>
      <c r="K507">
        <v>1</v>
      </c>
      <c r="L507">
        <f t="shared" si="28"/>
        <v>3.1594230440981987</v>
      </c>
      <c r="M507" t="s">
        <v>605</v>
      </c>
      <c r="N507">
        <v>324</v>
      </c>
      <c r="O507">
        <v>9</v>
      </c>
      <c r="P507">
        <v>975</v>
      </c>
      <c r="Q507">
        <v>231.78328263073999</v>
      </c>
      <c r="R507">
        <v>292.54259402212102</v>
      </c>
      <c r="S507" t="s">
        <v>1044</v>
      </c>
      <c r="T507">
        <v>0</v>
      </c>
      <c r="U507">
        <v>0</v>
      </c>
      <c r="V507">
        <v>0</v>
      </c>
      <c r="W507">
        <v>1730.2918999999999</v>
      </c>
      <c r="X507">
        <v>0.16907123822409401</v>
      </c>
      <c r="Y507">
        <v>12.06284809112549</v>
      </c>
      <c r="Z507">
        <v>11.509609222412109</v>
      </c>
      <c r="AA507">
        <f t="shared" si="29"/>
        <v>-0.25999814982582614</v>
      </c>
      <c r="AB507">
        <f t="shared" si="30"/>
        <v>-0.70441876776776791</v>
      </c>
      <c r="AC507" s="13">
        <f t="shared" si="31"/>
        <v>-0.22903218268151351</v>
      </c>
      <c r="AD507" s="13"/>
      <c r="AE507" s="13"/>
      <c r="AF507" s="13"/>
    </row>
    <row r="508" spans="1:32">
      <c r="A508" s="1" t="s">
        <v>1045</v>
      </c>
      <c r="B508">
        <v>707.28794892717144</v>
      </c>
      <c r="C508">
        <v>186.20393563213847</v>
      </c>
      <c r="D508">
        <v>8.0738966666666663</v>
      </c>
      <c r="E508">
        <v>1482.5989333333334</v>
      </c>
      <c r="F508">
        <v>1474.5250366666667</v>
      </c>
      <c r="G508">
        <v>0.37001078748651561</v>
      </c>
      <c r="H508">
        <v>13.80808480292273</v>
      </c>
      <c r="I508">
        <v>6.4665777005776359E-2</v>
      </c>
      <c r="J508">
        <v>4.9239431036544511E-2</v>
      </c>
      <c r="K508">
        <v>0</v>
      </c>
      <c r="L508">
        <f t="shared" si="28"/>
        <v>3.1686521510443897</v>
      </c>
      <c r="M508" t="s">
        <v>605</v>
      </c>
      <c r="N508">
        <v>319</v>
      </c>
      <c r="O508">
        <v>6</v>
      </c>
      <c r="P508">
        <v>960</v>
      </c>
      <c r="Q508">
        <v>156.936597614563</v>
      </c>
      <c r="R508">
        <v>198.075714702478</v>
      </c>
      <c r="S508" t="s">
        <v>1046</v>
      </c>
      <c r="T508">
        <v>0</v>
      </c>
      <c r="U508">
        <v>0</v>
      </c>
      <c r="V508">
        <v>0</v>
      </c>
      <c r="W508">
        <v>1430.3058000000001</v>
      </c>
      <c r="X508">
        <v>0.13848487134882401</v>
      </c>
      <c r="Y508">
        <v>11.9803524017334</v>
      </c>
      <c r="Z508">
        <v>13.07520771026611</v>
      </c>
      <c r="AA508">
        <f t="shared" si="29"/>
        <v>-0.257952441202773</v>
      </c>
      <c r="AB508">
        <f t="shared" si="30"/>
        <v>0.62795197809886494</v>
      </c>
      <c r="AC508" s="13">
        <f t="shared" si="31"/>
        <v>-0.30165109054288913</v>
      </c>
      <c r="AD508" s="13"/>
      <c r="AE508" s="13"/>
      <c r="AF508" s="13"/>
    </row>
    <row r="509" spans="1:32">
      <c r="A509" s="1" t="s">
        <v>1047</v>
      </c>
      <c r="B509">
        <v>152.2609154220018</v>
      </c>
      <c r="C509">
        <v>70.364030978377684</v>
      </c>
      <c r="D509">
        <v>6.6546599333333338</v>
      </c>
      <c r="E509">
        <v>1527.1954333333333</v>
      </c>
      <c r="F509">
        <v>1520.5407734</v>
      </c>
      <c r="G509">
        <v>0.50368033648790744</v>
      </c>
      <c r="H509">
        <v>0.58798775995189823</v>
      </c>
      <c r="I509">
        <v>10.515268056545905</v>
      </c>
      <c r="J509">
        <v>1.4512878805763187</v>
      </c>
      <c r="K509">
        <v>1</v>
      </c>
      <c r="L509">
        <f t="shared" si="28"/>
        <v>3.1819980702711477</v>
      </c>
      <c r="M509" t="s">
        <v>605</v>
      </c>
      <c r="N509">
        <v>327</v>
      </c>
      <c r="O509">
        <v>3</v>
      </c>
      <c r="P509">
        <v>984</v>
      </c>
      <c r="Q509">
        <v>76.554437860762704</v>
      </c>
      <c r="R509">
        <v>96.622299854867293</v>
      </c>
      <c r="S509" t="s">
        <v>1048</v>
      </c>
      <c r="T509">
        <v>0</v>
      </c>
      <c r="U509">
        <v>0</v>
      </c>
      <c r="V509">
        <v>0</v>
      </c>
      <c r="W509">
        <v>1140.2598</v>
      </c>
      <c r="X509">
        <v>8.4737092244124804E-2</v>
      </c>
      <c r="Y509">
        <v>12.99947547912598</v>
      </c>
      <c r="Z509">
        <v>12.51446056365967</v>
      </c>
      <c r="AA509">
        <f t="shared" si="29"/>
        <v>-0.25491625069105955</v>
      </c>
      <c r="AB509">
        <f t="shared" si="30"/>
        <v>-0.73324772038478359</v>
      </c>
      <c r="AC509" s="13">
        <f t="shared" si="31"/>
        <v>-0.37964071228228818</v>
      </c>
      <c r="AD509" s="13"/>
      <c r="AE509" s="13"/>
      <c r="AF509" s="13"/>
    </row>
    <row r="510" spans="1:32">
      <c r="A510" s="1" t="s">
        <v>1049</v>
      </c>
      <c r="B510">
        <v>489.19890942309979</v>
      </c>
      <c r="C510">
        <v>250.82562189948797</v>
      </c>
      <c r="D510">
        <v>0</v>
      </c>
      <c r="E510">
        <v>1548.5784466666664</v>
      </c>
      <c r="F510">
        <v>1548.5784466666664</v>
      </c>
      <c r="G510">
        <v>0.53773584905660377</v>
      </c>
      <c r="H510">
        <v>12.086682657293423</v>
      </c>
      <c r="I510">
        <v>7.4555551486536364E-2</v>
      </c>
      <c r="J510">
        <v>4.9885899232068605E-2</v>
      </c>
      <c r="K510">
        <v>0</v>
      </c>
      <c r="L510">
        <f t="shared" si="28"/>
        <v>3.1899332103976961</v>
      </c>
      <c r="M510" t="s">
        <v>605</v>
      </c>
      <c r="N510">
        <v>328</v>
      </c>
      <c r="O510">
        <v>0</v>
      </c>
      <c r="P510">
        <v>987</v>
      </c>
      <c r="Q510">
        <v>0</v>
      </c>
      <c r="R510">
        <v>0</v>
      </c>
      <c r="S510" t="s">
        <v>1050</v>
      </c>
      <c r="T510">
        <v>0</v>
      </c>
      <c r="U510">
        <v>0</v>
      </c>
      <c r="W510">
        <v>1460.1559</v>
      </c>
      <c r="X510">
        <v>0</v>
      </c>
      <c r="Y510">
        <v>9.2329263687133789</v>
      </c>
      <c r="Z510">
        <v>11.698408126831049</v>
      </c>
      <c r="AA510">
        <f t="shared" si="29"/>
        <v>-0.25306628101576994</v>
      </c>
      <c r="AB510">
        <f t="shared" si="30"/>
        <v>0.45070879493739252</v>
      </c>
      <c r="AC510" s="13">
        <f t="shared" si="31"/>
        <v>-0.45391654251028785</v>
      </c>
      <c r="AD510" s="13"/>
      <c r="AE510" s="13"/>
      <c r="AF510" s="13"/>
    </row>
    <row r="511" spans="1:32">
      <c r="A511" s="1" t="s">
        <v>1051</v>
      </c>
      <c r="B511">
        <v>153.2394373450725</v>
      </c>
      <c r="C511">
        <v>28.422933802007325</v>
      </c>
      <c r="D511">
        <v>974.22587999999996</v>
      </c>
      <c r="E511">
        <v>2562.3742999999999</v>
      </c>
      <c r="F511">
        <v>1588.1484199999998</v>
      </c>
      <c r="G511">
        <v>0.53968253968253965</v>
      </c>
      <c r="H511">
        <v>0.35887386286352435</v>
      </c>
      <c r="I511">
        <v>9.0417659168170031E-2</v>
      </c>
      <c r="J511">
        <v>2.8662893038422593E-2</v>
      </c>
      <c r="K511">
        <v>1</v>
      </c>
      <c r="L511">
        <f t="shared" si="28"/>
        <v>3.2008910868662399</v>
      </c>
      <c r="M511" t="s">
        <v>605</v>
      </c>
      <c r="N511">
        <v>325</v>
      </c>
      <c r="O511">
        <v>68</v>
      </c>
      <c r="P511">
        <v>978</v>
      </c>
      <c r="Q511">
        <v>1745.8795317448401</v>
      </c>
      <c r="R511">
        <v>2203.54169321366</v>
      </c>
      <c r="S511" t="s">
        <v>1052</v>
      </c>
      <c r="T511">
        <v>0</v>
      </c>
      <c r="U511">
        <v>0</v>
      </c>
      <c r="V511">
        <v>0</v>
      </c>
      <c r="W511">
        <v>2519.3112999999998</v>
      </c>
      <c r="X511">
        <v>0.874660345949967</v>
      </c>
      <c r="Y511">
        <v>12.18486499786377</v>
      </c>
      <c r="Z511">
        <v>12.284322738647459</v>
      </c>
      <c r="AA511">
        <f t="shared" si="29"/>
        <v>-0.25045539208706152</v>
      </c>
      <c r="AB511">
        <f t="shared" si="30"/>
        <v>-0.7568383011968155</v>
      </c>
      <c r="AC511" s="13">
        <f t="shared" si="31"/>
        <v>1.2399976879654859</v>
      </c>
      <c r="AD511" s="13"/>
      <c r="AE511" s="13"/>
      <c r="AF511" s="13"/>
    </row>
    <row r="512" spans="1:32">
      <c r="A512" s="1" t="s">
        <v>1053</v>
      </c>
      <c r="B512">
        <v>549.05443271778267</v>
      </c>
      <c r="C512">
        <v>216.70980391668726</v>
      </c>
      <c r="D512">
        <v>7.3399039999999998</v>
      </c>
      <c r="E512">
        <v>1657.5319</v>
      </c>
      <c r="F512">
        <v>1650.1919960000002</v>
      </c>
      <c r="G512">
        <v>0.4145299145299145</v>
      </c>
      <c r="H512">
        <v>4.080185000328612</v>
      </c>
      <c r="I512">
        <v>6.27999967711423E-2</v>
      </c>
      <c r="J512">
        <v>3.4593706376759292E-2</v>
      </c>
      <c r="K512">
        <v>0</v>
      </c>
      <c r="L512">
        <f t="shared" si="28"/>
        <v>3.2175344763063074</v>
      </c>
      <c r="M512" t="s">
        <v>605</v>
      </c>
      <c r="N512">
        <v>322</v>
      </c>
      <c r="O512">
        <v>6</v>
      </c>
      <c r="P512">
        <v>969</v>
      </c>
      <c r="Q512">
        <v>155.47898215684299</v>
      </c>
      <c r="R512">
        <v>196.236002182021</v>
      </c>
      <c r="S512" t="s">
        <v>1054</v>
      </c>
      <c r="T512">
        <v>0</v>
      </c>
      <c r="U512">
        <v>0</v>
      </c>
      <c r="V512">
        <v>0</v>
      </c>
      <c r="W512">
        <v>1476.3676</v>
      </c>
      <c r="X512">
        <v>0.13291811753524099</v>
      </c>
      <c r="Y512">
        <v>12.26337909698486</v>
      </c>
      <c r="Z512">
        <v>13.09051609039307</v>
      </c>
      <c r="AA512">
        <f t="shared" si="29"/>
        <v>-0.24636165959168413</v>
      </c>
      <c r="AB512">
        <f t="shared" si="30"/>
        <v>-0.37367563742691268</v>
      </c>
      <c r="AC512" s="13">
        <f t="shared" si="31"/>
        <v>-0.30306532074692027</v>
      </c>
      <c r="AD512" s="13"/>
      <c r="AE512" s="13"/>
      <c r="AF512" s="13"/>
    </row>
    <row r="513" spans="1:32">
      <c r="A513" s="1" t="s">
        <v>1055</v>
      </c>
      <c r="B513">
        <v>467.96041131418161</v>
      </c>
      <c r="C513">
        <v>171.71758413508127</v>
      </c>
      <c r="D513">
        <v>0</v>
      </c>
      <c r="E513">
        <v>1684.3082333333334</v>
      </c>
      <c r="F513">
        <v>1684.3082333333334</v>
      </c>
      <c r="G513">
        <v>0.42222222222222222</v>
      </c>
      <c r="H513">
        <v>6.3219341039372141</v>
      </c>
      <c r="I513">
        <v>1.2697611303797667</v>
      </c>
      <c r="J513">
        <v>0.68548217910226517</v>
      </c>
      <c r="K513">
        <v>0</v>
      </c>
      <c r="L513">
        <f t="shared" si="28"/>
        <v>3.2264215715973021</v>
      </c>
      <c r="M513" t="s">
        <v>605</v>
      </c>
      <c r="N513">
        <v>370</v>
      </c>
      <c r="O513">
        <v>25</v>
      </c>
      <c r="P513">
        <v>1113</v>
      </c>
      <c r="Q513">
        <v>564.012929432394</v>
      </c>
      <c r="R513">
        <v>711.86240683729704</v>
      </c>
      <c r="S513" t="s">
        <v>1056</v>
      </c>
      <c r="T513">
        <v>0</v>
      </c>
      <c r="U513">
        <v>0</v>
      </c>
      <c r="V513">
        <v>0</v>
      </c>
      <c r="W513">
        <v>1764.6989000000001</v>
      </c>
      <c r="X513">
        <v>0.403390293288729</v>
      </c>
      <c r="Y513">
        <v>9.8687152862548828</v>
      </c>
      <c r="Z513">
        <v>11.217587471008301</v>
      </c>
      <c r="AA513">
        <f t="shared" si="29"/>
        <v>-0.24411061672156542</v>
      </c>
      <c r="AB513">
        <f t="shared" si="30"/>
        <v>-0.14285522862132874</v>
      </c>
      <c r="AC513" s="13">
        <f t="shared" si="31"/>
        <v>9.3308801487553633E-2</v>
      </c>
      <c r="AD513" s="13"/>
      <c r="AE513" s="13"/>
      <c r="AF513" s="13"/>
    </row>
    <row r="514" spans="1:32">
      <c r="A514" s="1" t="s">
        <v>1057</v>
      </c>
      <c r="B514">
        <v>545.4503086623497</v>
      </c>
      <c r="C514">
        <v>198.86941963497404</v>
      </c>
      <c r="D514">
        <v>0</v>
      </c>
      <c r="E514">
        <v>1729.9560333333332</v>
      </c>
      <c r="F514">
        <v>1729.9560333333332</v>
      </c>
      <c r="G514">
        <v>0.45726495726495731</v>
      </c>
      <c r="H514">
        <v>7.0293452198953972</v>
      </c>
      <c r="I514">
        <v>7.7939975814555765E-2</v>
      </c>
      <c r="J514">
        <v>4.6294276346885224E-2</v>
      </c>
      <c r="K514">
        <v>0</v>
      </c>
      <c r="L514">
        <f t="shared" ref="L514:L577" si="32">LOG10(F514)</f>
        <v>3.2380350657164478</v>
      </c>
      <c r="M514" t="s">
        <v>605</v>
      </c>
      <c r="N514">
        <v>322</v>
      </c>
      <c r="O514">
        <v>5</v>
      </c>
      <c r="P514">
        <v>969</v>
      </c>
      <c r="Q514">
        <v>129.565818464036</v>
      </c>
      <c r="R514">
        <v>163.530001818351</v>
      </c>
      <c r="S514" t="s">
        <v>1058</v>
      </c>
      <c r="T514">
        <v>0</v>
      </c>
      <c r="U514">
        <v>0</v>
      </c>
      <c r="V514">
        <v>0</v>
      </c>
      <c r="W514">
        <v>2078.06</v>
      </c>
      <c r="X514">
        <v>7.86935900880395E-2</v>
      </c>
      <c r="AA514">
        <f t="shared" ref="AA514:AA577" si="33">(F514-AVERAGE(F:F))/_xlfn.STDEV.P(F:F)</f>
        <v>-0.24109870325283686</v>
      </c>
      <c r="AB514">
        <f t="shared" ref="AB514:AB577" si="34">(H514-AVERAGE(H:H))/_xlfn.STDEV.P(H:H)</f>
        <v>-7.0017049399471065E-2</v>
      </c>
      <c r="AC514" s="13">
        <f t="shared" ref="AC514:AC577" si="35">(Q514-AVERAGE(Q:Q))/_xlfn.STDEV.P(Q:Q)</f>
        <v>-0.32820719104081469</v>
      </c>
      <c r="AD514" s="13"/>
      <c r="AE514" s="13"/>
      <c r="AF514" s="13"/>
    </row>
    <row r="515" spans="1:32">
      <c r="A515" s="1" t="s">
        <v>1059</v>
      </c>
      <c r="B515">
        <v>193.93704295577041</v>
      </c>
      <c r="C515">
        <v>62.171598742506056</v>
      </c>
      <c r="D515">
        <v>1013.0407333333333</v>
      </c>
      <c r="E515">
        <v>2862.3561333333332</v>
      </c>
      <c r="F515">
        <v>1849.3154000000002</v>
      </c>
      <c r="G515">
        <v>0.39393939393939392</v>
      </c>
      <c r="H515">
        <v>0.82473970243798356</v>
      </c>
      <c r="I515">
        <v>2.4618492228002844</v>
      </c>
      <c r="J515">
        <v>1.1299284419636972</v>
      </c>
      <c r="K515">
        <v>1</v>
      </c>
      <c r="L515">
        <f t="shared" si="32"/>
        <v>3.2670109862258503</v>
      </c>
      <c r="M515" t="s">
        <v>605</v>
      </c>
      <c r="N515">
        <v>318</v>
      </c>
      <c r="O515">
        <v>31</v>
      </c>
      <c r="P515">
        <v>957</v>
      </c>
      <c r="Q515">
        <v>813.38090299711098</v>
      </c>
      <c r="R515">
        <v>1026.5993154903699</v>
      </c>
      <c r="S515" t="s">
        <v>1060</v>
      </c>
      <c r="T515">
        <v>0</v>
      </c>
      <c r="U515">
        <v>0</v>
      </c>
      <c r="V515">
        <v>0</v>
      </c>
      <c r="W515">
        <v>3905.2964000000002</v>
      </c>
      <c r="X515">
        <v>0.26287359788885101</v>
      </c>
      <c r="Y515">
        <v>10.521992683410639</v>
      </c>
      <c r="Z515">
        <v>11.639194488525391</v>
      </c>
      <c r="AA515">
        <f t="shared" si="33"/>
        <v>-0.23322318495661559</v>
      </c>
      <c r="AB515">
        <f t="shared" si="34"/>
        <v>-0.70887069261562452</v>
      </c>
      <c r="AC515" s="13">
        <f t="shared" si="35"/>
        <v>0.33525445201249232</v>
      </c>
      <c r="AD515" s="13"/>
      <c r="AE515" s="13"/>
      <c r="AF515" s="13"/>
    </row>
    <row r="516" spans="1:32">
      <c r="A516" s="1" t="s">
        <v>1061</v>
      </c>
      <c r="B516">
        <v>332.51060919898833</v>
      </c>
      <c r="C516">
        <v>113.40750803107258</v>
      </c>
      <c r="D516">
        <v>10.275873333333333</v>
      </c>
      <c r="E516">
        <v>1870.5934133333333</v>
      </c>
      <c r="F516">
        <v>1860.31754</v>
      </c>
      <c r="G516">
        <v>0.4523076923076923</v>
      </c>
      <c r="H516">
        <v>3.768867567551029</v>
      </c>
      <c r="I516">
        <v>7.4522274174125991E-2</v>
      </c>
      <c r="J516">
        <v>4.1365748628655948E-2</v>
      </c>
      <c r="K516">
        <v>0</v>
      </c>
      <c r="L516">
        <f t="shared" si="32"/>
        <v>3.2695870808305232</v>
      </c>
      <c r="M516" t="s">
        <v>605</v>
      </c>
      <c r="N516">
        <v>335</v>
      </c>
      <c r="O516">
        <v>77</v>
      </c>
      <c r="P516">
        <v>1008</v>
      </c>
      <c r="Q516">
        <v>1918.1139708446599</v>
      </c>
      <c r="R516">
        <v>2420.9254019191699</v>
      </c>
      <c r="S516" t="s">
        <v>1062</v>
      </c>
      <c r="T516">
        <v>1</v>
      </c>
      <c r="U516">
        <v>122.44398187829</v>
      </c>
      <c r="V516">
        <v>6.3328981536401596E-2</v>
      </c>
      <c r="W516">
        <v>2348.7620000000002</v>
      </c>
      <c r="X516">
        <v>1.03072401627716</v>
      </c>
      <c r="Y516">
        <v>9.5101900100708008</v>
      </c>
      <c r="Z516">
        <v>12.520378112792971</v>
      </c>
      <c r="AA516">
        <f t="shared" si="33"/>
        <v>-0.23249724649625528</v>
      </c>
      <c r="AB516">
        <f t="shared" si="34"/>
        <v>-0.40573025807395752</v>
      </c>
      <c r="AC516" s="13">
        <f t="shared" si="35"/>
        <v>1.4071056482023649</v>
      </c>
      <c r="AD516" s="13"/>
      <c r="AE516" s="13"/>
      <c r="AF516" s="13"/>
    </row>
    <row r="517" spans="1:32">
      <c r="A517" s="1" t="s">
        <v>1063</v>
      </c>
      <c r="B517">
        <v>381.8102903548791</v>
      </c>
      <c r="C517">
        <v>170.41144220867577</v>
      </c>
      <c r="D517">
        <v>763.41258733333336</v>
      </c>
      <c r="E517">
        <v>2713.0861333333332</v>
      </c>
      <c r="F517">
        <v>1949.673546</v>
      </c>
      <c r="G517">
        <v>0.45379023883696779</v>
      </c>
      <c r="H517">
        <v>3.4703542725156566</v>
      </c>
      <c r="I517">
        <v>7.1069472773303222E-2</v>
      </c>
      <c r="J517">
        <v>2.7352583801681839E-2</v>
      </c>
      <c r="K517">
        <v>0</v>
      </c>
      <c r="L517">
        <f t="shared" si="32"/>
        <v>3.2899618990344455</v>
      </c>
      <c r="M517" t="s">
        <v>605</v>
      </c>
      <c r="N517">
        <v>331</v>
      </c>
      <c r="O517">
        <v>6</v>
      </c>
      <c r="P517">
        <v>996</v>
      </c>
      <c r="Q517">
        <v>151.26419047186801</v>
      </c>
      <c r="R517">
        <v>190.91635152046001</v>
      </c>
      <c r="S517" t="s">
        <v>1064</v>
      </c>
      <c r="T517">
        <v>0</v>
      </c>
      <c r="U517">
        <v>0</v>
      </c>
      <c r="V517">
        <v>0</v>
      </c>
      <c r="W517">
        <v>3420.7844</v>
      </c>
      <c r="X517">
        <v>5.58106940386131E-2</v>
      </c>
      <c r="AA517">
        <f t="shared" si="33"/>
        <v>-0.22660139701428261</v>
      </c>
      <c r="AB517">
        <f t="shared" si="34"/>
        <v>-0.43646650803299691</v>
      </c>
      <c r="AC517" s="13">
        <f t="shared" si="35"/>
        <v>-0.30715466109592754</v>
      </c>
      <c r="AD517" s="13"/>
      <c r="AE517" s="13"/>
      <c r="AF517" s="13"/>
    </row>
    <row r="518" spans="1:32">
      <c r="A518" s="1" t="s">
        <v>1065</v>
      </c>
      <c r="B518">
        <v>156.94169620401786</v>
      </c>
      <c r="C518">
        <v>43.520928020549597</v>
      </c>
      <c r="D518">
        <v>2.2019705666666667</v>
      </c>
      <c r="E518">
        <v>1976.06008</v>
      </c>
      <c r="F518">
        <v>1973.8581094333333</v>
      </c>
      <c r="G518">
        <v>0.47008547008547008</v>
      </c>
      <c r="H518">
        <v>0.60132681292063017</v>
      </c>
      <c r="I518">
        <v>6.7318826137325941E-2</v>
      </c>
      <c r="J518">
        <v>2.4640443919254369E-2</v>
      </c>
      <c r="K518">
        <v>1</v>
      </c>
      <c r="L518">
        <f t="shared" si="32"/>
        <v>3.2953159302460091</v>
      </c>
      <c r="M518" t="s">
        <v>605</v>
      </c>
      <c r="N518">
        <v>322</v>
      </c>
      <c r="O518">
        <v>0</v>
      </c>
      <c r="P518">
        <v>969</v>
      </c>
      <c r="Q518">
        <v>0</v>
      </c>
      <c r="R518">
        <v>0</v>
      </c>
      <c r="S518" t="s">
        <v>1066</v>
      </c>
      <c r="T518">
        <v>0</v>
      </c>
      <c r="U518">
        <v>0</v>
      </c>
      <c r="W518">
        <v>2580.7908000000002</v>
      </c>
      <c r="X518">
        <v>0</v>
      </c>
      <c r="Y518">
        <v>12.593541145324711</v>
      </c>
      <c r="Z518">
        <v>13.68861198425293</v>
      </c>
      <c r="AA518">
        <f t="shared" si="33"/>
        <v>-0.22500566157160681</v>
      </c>
      <c r="AB518">
        <f t="shared" si="34"/>
        <v>-0.73187427245773151</v>
      </c>
      <c r="AC518" s="13">
        <f t="shared" si="35"/>
        <v>-0.45391654251028785</v>
      </c>
      <c r="AD518" s="13"/>
      <c r="AE518" s="13"/>
      <c r="AF518" s="13"/>
    </row>
    <row r="519" spans="1:32">
      <c r="A519" s="1" t="s">
        <v>1067</v>
      </c>
      <c r="B519">
        <v>157.36817811597004</v>
      </c>
      <c r="C519">
        <v>15.949718222518639</v>
      </c>
      <c r="D519">
        <v>51.246096999999999</v>
      </c>
      <c r="E519">
        <v>2026.8337999999997</v>
      </c>
      <c r="F519">
        <v>1975.5877029999999</v>
      </c>
      <c r="G519">
        <v>0.50308641975308643</v>
      </c>
      <c r="H519">
        <v>0.14338086578133544</v>
      </c>
      <c r="I519">
        <v>7.2667831433580077E-2</v>
      </c>
      <c r="J519">
        <v>1.4213412457760161E-2</v>
      </c>
      <c r="K519">
        <v>1</v>
      </c>
      <c r="L519">
        <f t="shared" si="32"/>
        <v>3.2956963142419582</v>
      </c>
      <c r="M519" t="s">
        <v>605</v>
      </c>
      <c r="N519">
        <v>334</v>
      </c>
      <c r="O519">
        <v>1</v>
      </c>
      <c r="P519">
        <v>1005</v>
      </c>
      <c r="Q519">
        <v>24.9849309635126</v>
      </c>
      <c r="R519">
        <v>31.534442141688</v>
      </c>
      <c r="S519" t="s">
        <v>1068</v>
      </c>
      <c r="T519">
        <v>0</v>
      </c>
      <c r="U519">
        <v>0</v>
      </c>
      <c r="V519">
        <v>0</v>
      </c>
      <c r="W519">
        <v>2271.9915000000001</v>
      </c>
      <c r="X519">
        <v>1.3879647939566701E-2</v>
      </c>
      <c r="Y519">
        <v>9.3947792053222656</v>
      </c>
      <c r="Z519">
        <v>11.95456123352051</v>
      </c>
      <c r="AA519">
        <f t="shared" si="33"/>
        <v>-0.22489154027421962</v>
      </c>
      <c r="AB519">
        <f t="shared" si="34"/>
        <v>-0.77902641386347538</v>
      </c>
      <c r="AC519" s="13">
        <f t="shared" si="35"/>
        <v>-0.42967527652542825</v>
      </c>
      <c r="AD519" s="13"/>
      <c r="AE519" s="13"/>
      <c r="AF519" s="13"/>
    </row>
    <row r="520" spans="1:32">
      <c r="A520" s="1" t="s">
        <v>1069</v>
      </c>
      <c r="B520">
        <v>744.79459931754025</v>
      </c>
      <c r="C520">
        <v>144.16133857710832</v>
      </c>
      <c r="D520">
        <v>286.01433333333335</v>
      </c>
      <c r="E520">
        <v>2270.8099666666667</v>
      </c>
      <c r="F520">
        <v>1984.7956333333332</v>
      </c>
      <c r="G520">
        <v>0.48725790010193681</v>
      </c>
      <c r="H520">
        <v>14.821233182716185</v>
      </c>
      <c r="I520">
        <v>7.823965198025519E-2</v>
      </c>
      <c r="J520">
        <v>4.9954628291416024E-2</v>
      </c>
      <c r="K520">
        <v>0</v>
      </c>
      <c r="L520">
        <f t="shared" si="32"/>
        <v>3.2977157957919019</v>
      </c>
      <c r="M520" t="s">
        <v>605</v>
      </c>
      <c r="N520">
        <v>337</v>
      </c>
      <c r="O520">
        <v>6</v>
      </c>
      <c r="P520">
        <v>1014</v>
      </c>
      <c r="Q520">
        <v>148.579027327397</v>
      </c>
      <c r="R520">
        <v>187.527303860334</v>
      </c>
      <c r="S520" t="s">
        <v>1070</v>
      </c>
      <c r="T520">
        <v>0</v>
      </c>
      <c r="U520">
        <v>0</v>
      </c>
      <c r="V520">
        <v>0</v>
      </c>
      <c r="W520">
        <v>3056.5129999999999</v>
      </c>
      <c r="X520">
        <v>6.1353347379950303E-2</v>
      </c>
      <c r="Y520">
        <v>9.1659183502197266</v>
      </c>
      <c r="Z520">
        <v>12.64226245880127</v>
      </c>
      <c r="AA520">
        <f t="shared" si="33"/>
        <v>-0.22428398658291182</v>
      </c>
      <c r="AB520">
        <f t="shared" si="34"/>
        <v>0.73227021907783851</v>
      </c>
      <c r="AC520" s="13">
        <f t="shared" si="35"/>
        <v>-0.30975990159440731</v>
      </c>
      <c r="AD520" s="13"/>
      <c r="AE520" s="13"/>
      <c r="AF520" s="13"/>
    </row>
    <row r="521" spans="1:32">
      <c r="A521" s="1" t="s">
        <v>1071</v>
      </c>
      <c r="B521">
        <v>207.46073696678968</v>
      </c>
      <c r="C521">
        <v>45.83704350834789</v>
      </c>
      <c r="D521">
        <v>0</v>
      </c>
      <c r="E521">
        <v>1986.507166666667</v>
      </c>
      <c r="F521">
        <v>1986.507166666667</v>
      </c>
      <c r="G521">
        <v>0.4552319309600863</v>
      </c>
      <c r="H521">
        <v>0.90395804229672183</v>
      </c>
      <c r="I521">
        <v>9.1523204612262266E-2</v>
      </c>
      <c r="J521">
        <v>4.6102461973664965E-2</v>
      </c>
      <c r="K521">
        <v>1</v>
      </c>
      <c r="L521">
        <f t="shared" si="32"/>
        <v>3.298090136186334</v>
      </c>
      <c r="M521" t="s">
        <v>605</v>
      </c>
      <c r="N521">
        <v>319</v>
      </c>
      <c r="O521">
        <v>14</v>
      </c>
      <c r="P521">
        <v>960</v>
      </c>
      <c r="Q521">
        <v>366.18539443398203</v>
      </c>
      <c r="R521">
        <v>462.17666763911501</v>
      </c>
      <c r="S521" t="s">
        <v>1072</v>
      </c>
      <c r="T521">
        <v>0</v>
      </c>
      <c r="U521">
        <v>0</v>
      </c>
      <c r="V521">
        <v>0</v>
      </c>
      <c r="W521">
        <v>2190.1028000000001</v>
      </c>
      <c r="X521">
        <v>0.21102966839689699</v>
      </c>
      <c r="Y521">
        <v>12.57919406890869</v>
      </c>
      <c r="Z521">
        <v>12.228550910949711</v>
      </c>
      <c r="AA521">
        <f t="shared" si="33"/>
        <v>-0.22417105692805778</v>
      </c>
      <c r="AB521">
        <f t="shared" si="34"/>
        <v>-0.70071402175461717</v>
      </c>
      <c r="AC521" s="13">
        <f t="shared" si="35"/>
        <v>-9.8630487919689064E-2</v>
      </c>
      <c r="AD521" s="13"/>
      <c r="AE521" s="13"/>
      <c r="AF521" s="13"/>
    </row>
    <row r="522" spans="1:32">
      <c r="A522" s="1" t="s">
        <v>1073</v>
      </c>
      <c r="B522">
        <v>346.53027307538326</v>
      </c>
      <c r="C522">
        <v>133.60401825970953</v>
      </c>
      <c r="D522">
        <v>3524.30321</v>
      </c>
      <c r="E522">
        <v>5732.5160666666661</v>
      </c>
      <c r="F522">
        <v>2208.2128566666665</v>
      </c>
      <c r="G522">
        <v>0.50747863247863245</v>
      </c>
      <c r="H522">
        <v>3.0930556767143575</v>
      </c>
      <c r="I522">
        <v>7.2080115731696773E-2</v>
      </c>
      <c r="J522">
        <v>3.0126798858606217E-2</v>
      </c>
      <c r="K522">
        <v>0</v>
      </c>
      <c r="L522">
        <f t="shared" si="32"/>
        <v>3.3440409341025483</v>
      </c>
      <c r="M522" t="s">
        <v>605</v>
      </c>
      <c r="N522">
        <v>322</v>
      </c>
      <c r="O522">
        <v>5</v>
      </c>
      <c r="P522">
        <v>969</v>
      </c>
      <c r="Q522">
        <v>129.565818464036</v>
      </c>
      <c r="R522">
        <v>163.530001818351</v>
      </c>
      <c r="S522" t="s">
        <v>1074</v>
      </c>
      <c r="T522">
        <v>1</v>
      </c>
      <c r="U522">
        <v>122.44398187829</v>
      </c>
      <c r="V522">
        <v>0.97526631566058497</v>
      </c>
      <c r="W522">
        <v>8328.4079999999994</v>
      </c>
      <c r="X522">
        <v>1.9635205410007701E-2</v>
      </c>
      <c r="Y522">
        <v>9.7454309463500977</v>
      </c>
      <c r="Z522">
        <v>12.049295425415041</v>
      </c>
      <c r="AA522">
        <f t="shared" si="33"/>
        <v>-0.209542567629455</v>
      </c>
      <c r="AB522">
        <f t="shared" si="34"/>
        <v>-0.47531484123158751</v>
      </c>
      <c r="AC522" s="13">
        <f t="shared" si="35"/>
        <v>-0.32820719104081469</v>
      </c>
      <c r="AD522" s="13"/>
      <c r="AE522" s="13"/>
      <c r="AF522" s="13"/>
    </row>
    <row r="523" spans="1:32">
      <c r="A523" s="1" t="s">
        <v>1075</v>
      </c>
      <c r="B523">
        <v>163.63566764573994</v>
      </c>
      <c r="C523">
        <v>59.634110860907541</v>
      </c>
      <c r="D523">
        <v>0</v>
      </c>
      <c r="E523">
        <v>2229.0126</v>
      </c>
      <c r="F523">
        <v>2229.0126</v>
      </c>
      <c r="G523">
        <v>0.49037487335359675</v>
      </c>
      <c r="H523">
        <v>0.81974625879662766</v>
      </c>
      <c r="I523">
        <v>8.8125644960794183E-2</v>
      </c>
      <c r="J523">
        <v>3.8852630619314002E-2</v>
      </c>
      <c r="K523">
        <v>1</v>
      </c>
      <c r="L523">
        <f t="shared" si="32"/>
        <v>3.3481125234353772</v>
      </c>
      <c r="M523" t="s">
        <v>605</v>
      </c>
      <c r="N523">
        <v>339</v>
      </c>
      <c r="O523">
        <v>3</v>
      </c>
      <c r="P523">
        <v>1020</v>
      </c>
      <c r="Q523">
        <v>73.852516524500501</v>
      </c>
      <c r="R523">
        <v>93.212101036460197</v>
      </c>
      <c r="S523" t="s">
        <v>1076</v>
      </c>
      <c r="T523">
        <v>0</v>
      </c>
      <c r="U523">
        <v>0</v>
      </c>
      <c r="V523">
        <v>0</v>
      </c>
      <c r="W523">
        <v>2536.4337999999998</v>
      </c>
      <c r="X523">
        <v>3.6749274133021002E-2</v>
      </c>
      <c r="AA523">
        <f t="shared" si="33"/>
        <v>-0.20817016792800686</v>
      </c>
      <c r="AB523">
        <f t="shared" si="34"/>
        <v>-0.70938483967195209</v>
      </c>
      <c r="AC523" s="13">
        <f t="shared" si="35"/>
        <v>-0.38226221217268819</v>
      </c>
      <c r="AD523" s="13"/>
      <c r="AE523" s="13"/>
      <c r="AF523" s="13"/>
    </row>
    <row r="524" spans="1:32">
      <c r="A524" s="1" t="s">
        <v>1077</v>
      </c>
      <c r="B524">
        <v>187.98632370871374</v>
      </c>
      <c r="C524">
        <v>70.868303415802998</v>
      </c>
      <c r="D524">
        <v>123.426377</v>
      </c>
      <c r="E524">
        <v>2353.6766666666667</v>
      </c>
      <c r="F524">
        <v>2230.250289666667</v>
      </c>
      <c r="G524">
        <v>0.52653927813163481</v>
      </c>
      <c r="H524">
        <v>1.8391005164125662</v>
      </c>
      <c r="I524">
        <v>0.14880219707883716</v>
      </c>
      <c r="J524">
        <v>0.19386133922616466</v>
      </c>
      <c r="K524">
        <v>6.883305665351066E-242</v>
      </c>
      <c r="L524">
        <f t="shared" si="32"/>
        <v>3.3483536044479321</v>
      </c>
      <c r="M524" t="s">
        <v>605</v>
      </c>
      <c r="N524">
        <v>324</v>
      </c>
      <c r="O524">
        <v>62</v>
      </c>
      <c r="P524">
        <v>975</v>
      </c>
      <c r="Q524">
        <v>1596.72928034509</v>
      </c>
      <c r="R524">
        <v>2015.29342548572</v>
      </c>
      <c r="S524" t="s">
        <v>1078</v>
      </c>
      <c r="T524">
        <v>0</v>
      </c>
      <c r="U524">
        <v>0</v>
      </c>
      <c r="V524">
        <v>0</v>
      </c>
      <c r="W524">
        <v>2445.4340000000002</v>
      </c>
      <c r="X524">
        <v>0.82410460698825905</v>
      </c>
      <c r="Y524">
        <v>12.10369777679443</v>
      </c>
      <c r="Z524">
        <v>13.056198120117189</v>
      </c>
      <c r="AA524">
        <f t="shared" si="33"/>
        <v>-0.20808850322177477</v>
      </c>
      <c r="AB524">
        <f t="shared" si="34"/>
        <v>-0.60442761404760614</v>
      </c>
      <c r="AC524" s="13">
        <f t="shared" si="35"/>
        <v>1.0952868251990391</v>
      </c>
      <c r="AD524" s="13"/>
      <c r="AE524" s="13"/>
      <c r="AF524" s="13"/>
    </row>
    <row r="525" spans="1:32">
      <c r="A525" s="1" t="s">
        <v>1079</v>
      </c>
      <c r="B525">
        <v>120.21732703362704</v>
      </c>
      <c r="C525">
        <v>25.950076615316313</v>
      </c>
      <c r="D525">
        <v>2583.1234333333337</v>
      </c>
      <c r="E525">
        <v>4846.585266666666</v>
      </c>
      <c r="F525">
        <v>2263.4618333333333</v>
      </c>
      <c r="G525">
        <v>0.55386178861788615</v>
      </c>
      <c r="H525">
        <v>0.29745426962991534</v>
      </c>
      <c r="I525">
        <v>0.34108704801600043</v>
      </c>
      <c r="J525">
        <v>7.2237778432328092E-2</v>
      </c>
      <c r="K525">
        <v>1</v>
      </c>
      <c r="L525">
        <f t="shared" si="32"/>
        <v>3.3547731757862196</v>
      </c>
      <c r="M525" t="s">
        <v>605</v>
      </c>
      <c r="N525">
        <v>338</v>
      </c>
      <c r="O525">
        <v>47</v>
      </c>
      <c r="P525">
        <v>1017</v>
      </c>
      <c r="Q525">
        <v>1160.4358053702199</v>
      </c>
      <c r="R525">
        <v>1464.6306534539101</v>
      </c>
      <c r="S525" t="s">
        <v>1080</v>
      </c>
      <c r="T525">
        <v>0</v>
      </c>
      <c r="U525">
        <v>0</v>
      </c>
      <c r="V525">
        <v>0</v>
      </c>
      <c r="W525">
        <v>7337.3374000000003</v>
      </c>
      <c r="X525">
        <v>0.199613371119327</v>
      </c>
      <c r="Y525">
        <v>13.329345703125</v>
      </c>
      <c r="Z525">
        <v>11.94056606292725</v>
      </c>
      <c r="AA525">
        <f t="shared" si="33"/>
        <v>-0.20589715345931309</v>
      </c>
      <c r="AB525">
        <f t="shared" si="34"/>
        <v>-0.76316233433506164</v>
      </c>
      <c r="AC525" s="13">
        <f t="shared" si="35"/>
        <v>0.67197942483960271</v>
      </c>
      <c r="AD525" s="13"/>
      <c r="AE525" s="13"/>
      <c r="AF525" s="13"/>
    </row>
    <row r="526" spans="1:32">
      <c r="A526" s="1" t="s">
        <v>1081</v>
      </c>
      <c r="B526">
        <v>118.94776454852666</v>
      </c>
      <c r="C526">
        <v>13.48602998049514</v>
      </c>
      <c r="D526">
        <v>14.222563333333333</v>
      </c>
      <c r="E526">
        <v>2279.8190333333337</v>
      </c>
      <c r="F526">
        <v>2265.59647</v>
      </c>
      <c r="G526">
        <v>0.50589496248660237</v>
      </c>
      <c r="H526">
        <v>0.15246745735378756</v>
      </c>
      <c r="I526">
        <v>0.10038814503465947</v>
      </c>
      <c r="J526">
        <v>7.044604789343227E-2</v>
      </c>
      <c r="K526">
        <v>1</v>
      </c>
      <c r="L526">
        <f t="shared" si="32"/>
        <v>3.355182559340927</v>
      </c>
      <c r="M526" t="s">
        <v>605</v>
      </c>
      <c r="N526">
        <v>321</v>
      </c>
      <c r="O526">
        <v>8</v>
      </c>
      <c r="P526">
        <v>966</v>
      </c>
      <c r="Q526">
        <v>207.949114851595</v>
      </c>
      <c r="R526">
        <v>262.46057434696797</v>
      </c>
      <c r="S526" t="s">
        <v>1082</v>
      </c>
      <c r="T526">
        <v>0</v>
      </c>
      <c r="U526">
        <v>0</v>
      </c>
      <c r="V526">
        <v>0</v>
      </c>
      <c r="W526">
        <v>2382.8780000000002</v>
      </c>
      <c r="X526">
        <v>0.110144360872427</v>
      </c>
      <c r="Y526">
        <v>13.11386013031006</v>
      </c>
      <c r="Z526">
        <v>10.5949649810791</v>
      </c>
      <c r="AA526">
        <f t="shared" si="33"/>
        <v>-0.20575630678264575</v>
      </c>
      <c r="AB526">
        <f t="shared" si="34"/>
        <v>-0.7780908181815025</v>
      </c>
      <c r="AC526" s="13">
        <f t="shared" si="35"/>
        <v>-0.25215693741891043</v>
      </c>
      <c r="AD526" s="13"/>
      <c r="AE526" s="13"/>
      <c r="AF526" s="13"/>
    </row>
    <row r="527" spans="1:32">
      <c r="A527" s="1" t="s">
        <v>1083</v>
      </c>
      <c r="B527">
        <v>238.34130501434183</v>
      </c>
      <c r="C527">
        <v>84.233231519212353</v>
      </c>
      <c r="D527">
        <v>219.43554000000003</v>
      </c>
      <c r="E527">
        <v>2496.9259999999999</v>
      </c>
      <c r="F527">
        <v>2277.49046</v>
      </c>
      <c r="G527">
        <v>0.56223628691983119</v>
      </c>
      <c r="H527">
        <v>1.6171952778369925</v>
      </c>
      <c r="I527">
        <v>8.984398470544952E-2</v>
      </c>
      <c r="J527">
        <v>4.051014512954329E-2</v>
      </c>
      <c r="K527">
        <v>7.5579111116485691E-192</v>
      </c>
      <c r="L527">
        <f t="shared" si="32"/>
        <v>3.3574565664669747</v>
      </c>
      <c r="M527" t="s">
        <v>605</v>
      </c>
      <c r="N527">
        <v>326</v>
      </c>
      <c r="O527">
        <v>6</v>
      </c>
      <c r="P527">
        <v>981</v>
      </c>
      <c r="Q527">
        <v>153.57709858305901</v>
      </c>
      <c r="R527">
        <v>193.83556178835701</v>
      </c>
      <c r="S527" t="s">
        <v>1084</v>
      </c>
      <c r="T527">
        <v>0</v>
      </c>
      <c r="U527">
        <v>0</v>
      </c>
      <c r="V527">
        <v>0</v>
      </c>
      <c r="W527">
        <v>3400.8591000000001</v>
      </c>
      <c r="X527">
        <v>5.69960577867979E-2</v>
      </c>
      <c r="Y527">
        <v>10.089492797851561</v>
      </c>
      <c r="Z527">
        <v>12.56553268432617</v>
      </c>
      <c r="AA527">
        <f t="shared" si="33"/>
        <v>-0.20497152265990767</v>
      </c>
      <c r="AB527">
        <f t="shared" si="34"/>
        <v>-0.62727595947647863</v>
      </c>
      <c r="AC527" s="13">
        <f t="shared" si="35"/>
        <v>-0.3049105956308758</v>
      </c>
      <c r="AD527" s="13"/>
      <c r="AE527" s="13"/>
      <c r="AF527" s="13"/>
    </row>
    <row r="528" spans="1:32">
      <c r="A528" s="1" t="s">
        <v>1085</v>
      </c>
      <c r="B528">
        <v>172.75212233879878</v>
      </c>
      <c r="C528">
        <v>48.359788754045944</v>
      </c>
      <c r="D528">
        <v>0</v>
      </c>
      <c r="E528">
        <v>2282.5905333333335</v>
      </c>
      <c r="F528">
        <v>2282.5905333333335</v>
      </c>
      <c r="G528">
        <v>0.51111111111111107</v>
      </c>
      <c r="H528">
        <v>0.66781925578495305</v>
      </c>
      <c r="I528">
        <v>2.3049475211656403</v>
      </c>
      <c r="J528">
        <v>1.1349199748968006</v>
      </c>
      <c r="K528">
        <v>1</v>
      </c>
      <c r="L528">
        <f t="shared" si="32"/>
        <v>3.3584280117692527</v>
      </c>
      <c r="M528" t="s">
        <v>605</v>
      </c>
      <c r="N528">
        <v>325</v>
      </c>
      <c r="O528">
        <v>7</v>
      </c>
      <c r="P528">
        <v>978</v>
      </c>
      <c r="Q528">
        <v>179.722892973733</v>
      </c>
      <c r="R528">
        <v>226.835174301406</v>
      </c>
      <c r="S528" t="s">
        <v>1086</v>
      </c>
      <c r="T528">
        <v>0</v>
      </c>
      <c r="U528">
        <v>0</v>
      </c>
      <c r="V528">
        <v>0</v>
      </c>
      <c r="W528">
        <v>2239.5657000000001</v>
      </c>
      <c r="X528">
        <v>0.10128534041283301</v>
      </c>
      <c r="Y528">
        <v>12.2288703918457</v>
      </c>
      <c r="Z528">
        <v>13.13681697845459</v>
      </c>
      <c r="AA528">
        <f t="shared" si="33"/>
        <v>-0.20463501181898716</v>
      </c>
      <c r="AB528">
        <f t="shared" si="34"/>
        <v>-0.72502791627107388</v>
      </c>
      <c r="AC528" s="13">
        <f t="shared" si="35"/>
        <v>-0.27954301878484111</v>
      </c>
      <c r="AD528" s="13"/>
      <c r="AE528" s="13"/>
      <c r="AF528" s="13"/>
    </row>
    <row r="529" spans="1:32">
      <c r="A529" s="1" t="s">
        <v>1087</v>
      </c>
      <c r="B529">
        <v>114.48206500218599</v>
      </c>
      <c r="C529">
        <v>4.4821496786438653</v>
      </c>
      <c r="D529">
        <v>34.497474666666669</v>
      </c>
      <c r="E529">
        <v>2387.8818333333334</v>
      </c>
      <c r="F529">
        <v>2353.3843586666667</v>
      </c>
      <c r="G529">
        <v>0.5412647374062165</v>
      </c>
      <c r="H529">
        <v>0.17424187655369872</v>
      </c>
      <c r="I529">
        <v>8.8577978867308324E-2</v>
      </c>
      <c r="J529">
        <v>5.7206478442025255E-2</v>
      </c>
      <c r="K529">
        <v>1</v>
      </c>
      <c r="L529">
        <f t="shared" si="32"/>
        <v>3.3716928626694509</v>
      </c>
      <c r="M529" t="s">
        <v>605</v>
      </c>
      <c r="N529">
        <v>321</v>
      </c>
      <c r="O529">
        <v>1</v>
      </c>
      <c r="P529">
        <v>966</v>
      </c>
      <c r="Q529">
        <v>25.9936393564494</v>
      </c>
      <c r="R529">
        <v>32.807571793371103</v>
      </c>
      <c r="S529" t="s">
        <v>1088</v>
      </c>
      <c r="T529">
        <v>0</v>
      </c>
      <c r="U529">
        <v>0</v>
      </c>
      <c r="V529">
        <v>0</v>
      </c>
      <c r="W529">
        <v>2655.8606</v>
      </c>
      <c r="X529">
        <v>1.2352896757221E-2</v>
      </c>
      <c r="Y529">
        <v>12.42837429046631</v>
      </c>
      <c r="Z529">
        <v>12.53125095367432</v>
      </c>
      <c r="AA529">
        <f t="shared" si="33"/>
        <v>-0.19996392414281691</v>
      </c>
      <c r="AB529">
        <f t="shared" si="34"/>
        <v>-0.77584882761568175</v>
      </c>
      <c r="AC529" s="13">
        <f t="shared" si="35"/>
        <v>-0.42869659187386566</v>
      </c>
      <c r="AD529" s="13"/>
      <c r="AE529" s="13"/>
      <c r="AF529" s="13"/>
    </row>
    <row r="530" spans="1:32">
      <c r="A530" s="1" t="s">
        <v>1089</v>
      </c>
      <c r="B530">
        <v>222.80018341646178</v>
      </c>
      <c r="C530">
        <v>69.123791115102364</v>
      </c>
      <c r="D530">
        <v>47.858469333333325</v>
      </c>
      <c r="E530">
        <v>2481.4172999999996</v>
      </c>
      <c r="F530">
        <v>2433.5588306666668</v>
      </c>
      <c r="G530">
        <v>0.5938818565400843</v>
      </c>
      <c r="H530">
        <v>2.130430804889325</v>
      </c>
      <c r="I530">
        <v>8.213530963429877E-2</v>
      </c>
      <c r="J530">
        <v>2.4957538792981029E-2</v>
      </c>
      <c r="K530">
        <v>0</v>
      </c>
      <c r="L530">
        <f t="shared" si="32"/>
        <v>3.386241849665232</v>
      </c>
      <c r="M530" t="s">
        <v>605</v>
      </c>
      <c r="N530">
        <v>326</v>
      </c>
      <c r="O530">
        <v>14</v>
      </c>
      <c r="P530">
        <v>981</v>
      </c>
      <c r="Q530">
        <v>358.34656336047101</v>
      </c>
      <c r="R530">
        <v>452.28297750616798</v>
      </c>
      <c r="S530" t="s">
        <v>1090</v>
      </c>
      <c r="T530">
        <v>0</v>
      </c>
      <c r="U530">
        <v>0</v>
      </c>
      <c r="V530">
        <v>0</v>
      </c>
      <c r="W530">
        <v>3355.0963999999999</v>
      </c>
      <c r="X530">
        <v>0.134804763733813</v>
      </c>
      <c r="Y530">
        <v>12.833988189697269</v>
      </c>
      <c r="Z530">
        <v>11.261134147644039</v>
      </c>
      <c r="AA530">
        <f t="shared" si="33"/>
        <v>-0.19467388668066096</v>
      </c>
      <c r="AB530">
        <f t="shared" si="34"/>
        <v>-0.57443095823299772</v>
      </c>
      <c r="AC530" s="13">
        <f t="shared" si="35"/>
        <v>-0.10623599979165974</v>
      </c>
      <c r="AD530" s="13"/>
      <c r="AE530" s="13"/>
      <c r="AF530" s="13"/>
    </row>
    <row r="531" spans="1:32">
      <c r="A531" s="1" t="s">
        <v>1091</v>
      </c>
      <c r="B531">
        <v>131.26722425067985</v>
      </c>
      <c r="C531">
        <v>37.936940926952452</v>
      </c>
      <c r="D531">
        <v>0</v>
      </c>
      <c r="E531">
        <v>2449.7982333333334</v>
      </c>
      <c r="F531">
        <v>2449.7982333333334</v>
      </c>
      <c r="G531">
        <v>0.47249190938511326</v>
      </c>
      <c r="H531">
        <v>0.66981752790508342</v>
      </c>
      <c r="I531">
        <v>9.6662905264047456</v>
      </c>
      <c r="J531">
        <v>3.5118936692312577</v>
      </c>
      <c r="K531">
        <v>1</v>
      </c>
      <c r="L531">
        <f t="shared" si="32"/>
        <v>3.389130317116233</v>
      </c>
      <c r="M531" t="s">
        <v>605</v>
      </c>
      <c r="N531">
        <v>319</v>
      </c>
      <c r="O531">
        <v>2</v>
      </c>
      <c r="P531">
        <v>960</v>
      </c>
      <c r="Q531">
        <v>52.312199204854501</v>
      </c>
      <c r="R531">
        <v>66.025238234159303</v>
      </c>
      <c r="S531" t="s">
        <v>1092</v>
      </c>
      <c r="T531">
        <v>0</v>
      </c>
      <c r="U531">
        <v>0</v>
      </c>
      <c r="V531">
        <v>0</v>
      </c>
      <c r="W531">
        <v>2018.6261</v>
      </c>
      <c r="X531">
        <v>3.2708007804991397E-2</v>
      </c>
      <c r="Y531">
        <v>11.90017700195312</v>
      </c>
      <c r="Z531">
        <v>12.044660568237299</v>
      </c>
      <c r="AA531">
        <f t="shared" si="33"/>
        <v>-0.19360238541190672</v>
      </c>
      <c r="AB531">
        <f t="shared" si="34"/>
        <v>-0.72482216533002042</v>
      </c>
      <c r="AC531" s="13">
        <f t="shared" si="35"/>
        <v>-0.40316139185448813</v>
      </c>
      <c r="AD531" s="13"/>
      <c r="AE531" s="13"/>
      <c r="AF531" s="13"/>
    </row>
    <row r="532" spans="1:32">
      <c r="A532" s="1" t="s">
        <v>1093</v>
      </c>
      <c r="B532">
        <v>132.00349370275163</v>
      </c>
      <c r="C532">
        <v>5.3895568161223686</v>
      </c>
      <c r="D532">
        <v>616.80253000000005</v>
      </c>
      <c r="E532">
        <v>3073.5348666666669</v>
      </c>
      <c r="F532">
        <v>2456.7323366666665</v>
      </c>
      <c r="G532">
        <v>0.67089947089947088</v>
      </c>
      <c r="H532">
        <v>9.252069825942949E-2</v>
      </c>
      <c r="I532">
        <v>13.088365474776344</v>
      </c>
      <c r="J532">
        <v>4.9311982330841353</v>
      </c>
      <c r="K532">
        <v>1</v>
      </c>
      <c r="L532">
        <f t="shared" si="32"/>
        <v>3.3903578422591081</v>
      </c>
      <c r="M532" t="s">
        <v>605</v>
      </c>
      <c r="N532">
        <v>325</v>
      </c>
      <c r="O532">
        <v>10</v>
      </c>
      <c r="P532">
        <v>978</v>
      </c>
      <c r="Q532">
        <v>256.74698996247599</v>
      </c>
      <c r="R532">
        <v>324.05024900200902</v>
      </c>
      <c r="S532" t="s">
        <v>1094</v>
      </c>
      <c r="T532">
        <v>0</v>
      </c>
      <c r="U532">
        <v>0</v>
      </c>
      <c r="V532">
        <v>0</v>
      </c>
      <c r="W532">
        <v>4083.2646</v>
      </c>
      <c r="X532">
        <v>7.9360580502671599E-2</v>
      </c>
      <c r="Y532">
        <v>13.448178291320801</v>
      </c>
      <c r="Z532">
        <v>10.99907207489014</v>
      </c>
      <c r="AA532">
        <f t="shared" si="33"/>
        <v>-0.19314486239385939</v>
      </c>
      <c r="AB532">
        <f t="shared" si="34"/>
        <v>-0.78426320179858788</v>
      </c>
      <c r="AC532" s="13">
        <f t="shared" si="35"/>
        <v>-0.2048115086167922</v>
      </c>
      <c r="AD532" s="13"/>
      <c r="AE532" s="13"/>
      <c r="AF532" s="13"/>
    </row>
    <row r="533" spans="1:32">
      <c r="A533" s="1" t="s">
        <v>1095</v>
      </c>
      <c r="B533">
        <v>315.05798479866394</v>
      </c>
      <c r="C533">
        <v>108.77557950797835</v>
      </c>
      <c r="D533">
        <v>89.546499999999995</v>
      </c>
      <c r="E533">
        <v>2596.4600999999998</v>
      </c>
      <c r="F533">
        <v>2506.9135999999999</v>
      </c>
      <c r="G533">
        <v>0.55091103965702037</v>
      </c>
      <c r="H533">
        <v>3.9599485102111855</v>
      </c>
      <c r="I533">
        <v>7.1472896473792458E-2</v>
      </c>
      <c r="J533">
        <v>4.9742137397566159E-2</v>
      </c>
      <c r="K533">
        <v>0</v>
      </c>
      <c r="L533">
        <f t="shared" si="32"/>
        <v>3.3991393663914677</v>
      </c>
      <c r="M533" t="s">
        <v>605</v>
      </c>
      <c r="N533">
        <v>321</v>
      </c>
      <c r="O533">
        <v>2</v>
      </c>
      <c r="P533">
        <v>966</v>
      </c>
      <c r="Q533">
        <v>51.987278712898899</v>
      </c>
      <c r="R533">
        <v>65.615143586742207</v>
      </c>
      <c r="S533" t="s">
        <v>1096</v>
      </c>
      <c r="T533">
        <v>0</v>
      </c>
      <c r="U533">
        <v>0</v>
      </c>
      <c r="V533">
        <v>0</v>
      </c>
      <c r="W533">
        <v>2606.0871999999999</v>
      </c>
      <c r="X533">
        <v>2.51776470053428E-2</v>
      </c>
      <c r="Y533">
        <v>11.43386745452881</v>
      </c>
      <c r="Z533">
        <v>11.482290267944339</v>
      </c>
      <c r="AA533">
        <f t="shared" si="33"/>
        <v>-0.18983382390106274</v>
      </c>
      <c r="AB533">
        <f t="shared" si="34"/>
        <v>-0.38605571856872201</v>
      </c>
      <c r="AC533" s="13">
        <f t="shared" si="35"/>
        <v>-0.40347664123744337</v>
      </c>
      <c r="AD533" s="13"/>
      <c r="AE533" s="13"/>
      <c r="AF533" s="13"/>
    </row>
    <row r="534" spans="1:32">
      <c r="A534" s="1" t="s">
        <v>1097</v>
      </c>
      <c r="B534">
        <v>450.12901671666486</v>
      </c>
      <c r="C534">
        <v>204.5123672186231</v>
      </c>
      <c r="D534">
        <v>0</v>
      </c>
      <c r="E534">
        <v>2508.3419666666664</v>
      </c>
      <c r="F534">
        <v>2508.3419666666664</v>
      </c>
      <c r="G534">
        <v>0.5366876310272537</v>
      </c>
      <c r="H534">
        <v>3.3381015252172173</v>
      </c>
      <c r="I534">
        <v>7.1434413117301268E-2</v>
      </c>
      <c r="J534">
        <v>3.5461094504080429E-2</v>
      </c>
      <c r="K534">
        <v>0</v>
      </c>
      <c r="L534">
        <f t="shared" si="32"/>
        <v>3.3993867443246537</v>
      </c>
      <c r="M534" t="s">
        <v>605</v>
      </c>
      <c r="N534">
        <v>328</v>
      </c>
      <c r="O534">
        <v>0</v>
      </c>
      <c r="P534">
        <v>987</v>
      </c>
      <c r="Q534">
        <v>0</v>
      </c>
      <c r="R534">
        <v>0</v>
      </c>
      <c r="S534" t="s">
        <v>1098</v>
      </c>
      <c r="T534">
        <v>0</v>
      </c>
      <c r="U534">
        <v>0</v>
      </c>
      <c r="W534">
        <v>2517.6642999999999</v>
      </c>
      <c r="X534">
        <v>0</v>
      </c>
      <c r="Y534">
        <v>12.172903060913089</v>
      </c>
      <c r="Z534">
        <v>13.91277503967285</v>
      </c>
      <c r="AA534">
        <f t="shared" si="33"/>
        <v>-0.18973957802718458</v>
      </c>
      <c r="AB534">
        <f t="shared" si="34"/>
        <v>-0.45008383619338199</v>
      </c>
      <c r="AC534" s="13">
        <f t="shared" si="35"/>
        <v>-0.45391654251028785</v>
      </c>
      <c r="AD534" s="13"/>
      <c r="AE534" s="13"/>
      <c r="AF534" s="13"/>
    </row>
    <row r="535" spans="1:32">
      <c r="A535" s="1" t="s">
        <v>1099</v>
      </c>
      <c r="B535">
        <v>106.09564576779866</v>
      </c>
      <c r="C535">
        <v>10.975983044020145</v>
      </c>
      <c r="D535">
        <v>847.96845033333329</v>
      </c>
      <c r="E535">
        <v>3367.8994999999995</v>
      </c>
      <c r="F535">
        <v>2519.9310496666671</v>
      </c>
      <c r="G535">
        <v>0.56451612903225812</v>
      </c>
      <c r="H535">
        <v>0.15593182638749134</v>
      </c>
      <c r="I535">
        <v>0.544196534021404</v>
      </c>
      <c r="J535">
        <v>0.17951785762743838</v>
      </c>
      <c r="K535">
        <v>1</v>
      </c>
      <c r="L535">
        <f t="shared" si="32"/>
        <v>3.4013886577819559</v>
      </c>
      <c r="M535" t="s">
        <v>605</v>
      </c>
      <c r="N535">
        <v>320</v>
      </c>
      <c r="O535">
        <v>31</v>
      </c>
      <c r="P535">
        <v>963</v>
      </c>
      <c r="Q535">
        <v>808.31310920896703</v>
      </c>
      <c r="R535">
        <v>1020.20305807299</v>
      </c>
      <c r="S535" t="s">
        <v>1100</v>
      </c>
      <c r="T535">
        <v>0</v>
      </c>
      <c r="U535">
        <v>0</v>
      </c>
      <c r="V535">
        <v>0</v>
      </c>
      <c r="W535">
        <v>4882.3573999999999</v>
      </c>
      <c r="X535">
        <v>0.20895706202765699</v>
      </c>
      <c r="Y535">
        <v>13.063076019287109</v>
      </c>
      <c r="Z535">
        <v>10.487204551696779</v>
      </c>
      <c r="AA535">
        <f t="shared" si="33"/>
        <v>-0.18897491214672779</v>
      </c>
      <c r="AB535">
        <f t="shared" si="34"/>
        <v>-0.77773411141386029</v>
      </c>
      <c r="AC535" s="13">
        <f t="shared" si="35"/>
        <v>0.33033749877559032</v>
      </c>
      <c r="AD535" s="13"/>
      <c r="AE535" s="13"/>
      <c r="AF535" s="13"/>
    </row>
    <row r="536" spans="1:32">
      <c r="A536" s="1" t="s">
        <v>1101</v>
      </c>
      <c r="B536">
        <v>125.55384714903728</v>
      </c>
      <c r="C536">
        <v>28.300602700140267</v>
      </c>
      <c r="D536">
        <v>1773.8171133333333</v>
      </c>
      <c r="E536">
        <v>4328.5986000000003</v>
      </c>
      <c r="F536">
        <v>2554.7814866666663</v>
      </c>
      <c r="G536">
        <v>0.489247311827957</v>
      </c>
      <c r="H536">
        <v>0.108070662695839</v>
      </c>
      <c r="I536">
        <v>7.229167564635651E-2</v>
      </c>
      <c r="J536">
        <v>3.7243456090419673E-2</v>
      </c>
      <c r="K536">
        <v>1</v>
      </c>
      <c r="L536">
        <f t="shared" si="32"/>
        <v>3.4073537603638084</v>
      </c>
      <c r="M536" t="s">
        <v>605</v>
      </c>
      <c r="N536">
        <v>320</v>
      </c>
      <c r="O536">
        <v>11</v>
      </c>
      <c r="P536">
        <v>963</v>
      </c>
      <c r="Q536">
        <v>286.820780687053</v>
      </c>
      <c r="R536">
        <v>362.00753673557699</v>
      </c>
      <c r="S536" t="s">
        <v>1102</v>
      </c>
      <c r="T536">
        <v>2</v>
      </c>
      <c r="U536">
        <v>244.887963756581</v>
      </c>
      <c r="V536">
        <v>0.88660574150962201</v>
      </c>
      <c r="W536">
        <v>4974.9736000000003</v>
      </c>
      <c r="X536">
        <v>7.2765720150872307E-2</v>
      </c>
      <c r="Y536">
        <v>13.19369316101074</v>
      </c>
      <c r="Z536">
        <v>12.671219825744631</v>
      </c>
      <c r="AA536">
        <f t="shared" si="33"/>
        <v>-0.18667542563058956</v>
      </c>
      <c r="AB536">
        <f t="shared" si="34"/>
        <v>-0.78266210864220087</v>
      </c>
      <c r="AC536" s="13">
        <f t="shared" si="35"/>
        <v>-0.17563285044110513</v>
      </c>
      <c r="AD536" s="13"/>
      <c r="AE536" s="13"/>
      <c r="AF536" s="13"/>
    </row>
    <row r="537" spans="1:32">
      <c r="A537" s="1" t="s">
        <v>1103</v>
      </c>
      <c r="B537">
        <v>242.72336278490312</v>
      </c>
      <c r="C537">
        <v>67.309250208211694</v>
      </c>
      <c r="D537">
        <v>16.074365</v>
      </c>
      <c r="E537">
        <v>2659.9266666666667</v>
      </c>
      <c r="F537">
        <v>2643.8523016666663</v>
      </c>
      <c r="G537">
        <v>0.57680250783699061</v>
      </c>
      <c r="H537">
        <v>2.6183948925780913</v>
      </c>
      <c r="I537">
        <v>8.1513312177889222E-2</v>
      </c>
      <c r="J537">
        <v>3.4866425518605151E-2</v>
      </c>
      <c r="K537">
        <v>0</v>
      </c>
      <c r="L537">
        <f t="shared" si="32"/>
        <v>3.4222371897081443</v>
      </c>
      <c r="M537" t="s">
        <v>605</v>
      </c>
      <c r="N537">
        <v>329</v>
      </c>
      <c r="O537">
        <v>13</v>
      </c>
      <c r="P537">
        <v>990</v>
      </c>
      <c r="Q537">
        <v>329.725376806356</v>
      </c>
      <c r="R537">
        <v>416.15907735470103</v>
      </c>
      <c r="S537" t="s">
        <v>1104</v>
      </c>
      <c r="T537">
        <v>0</v>
      </c>
      <c r="U537">
        <v>0</v>
      </c>
      <c r="V537">
        <v>0</v>
      </c>
      <c r="W537">
        <v>1748.7802999999999</v>
      </c>
      <c r="X537">
        <v>0.23797104607977401</v>
      </c>
      <c r="Y537">
        <v>12.840023040771481</v>
      </c>
      <c r="Z537">
        <v>11.82122707366943</v>
      </c>
      <c r="AA537">
        <f t="shared" si="33"/>
        <v>-0.18079839349828239</v>
      </c>
      <c r="AB537">
        <f t="shared" si="34"/>
        <v>-0.52418801622782052</v>
      </c>
      <c r="AC537" s="13">
        <f t="shared" si="35"/>
        <v>-0.13400528989191329</v>
      </c>
      <c r="AD537" s="13"/>
      <c r="AE537" s="13"/>
      <c r="AF537" s="13"/>
    </row>
    <row r="538" spans="1:32">
      <c r="A538" s="1" t="s">
        <v>1105</v>
      </c>
      <c r="B538">
        <v>111.04211015792384</v>
      </c>
      <c r="C538">
        <v>19.556925727023788</v>
      </c>
      <c r="D538">
        <v>0.88891339999999996</v>
      </c>
      <c r="E538">
        <v>2670.4405000000002</v>
      </c>
      <c r="F538">
        <v>2669.5515866000001</v>
      </c>
      <c r="G538">
        <v>0.48076923076923073</v>
      </c>
      <c r="H538">
        <v>0.12010866589037343</v>
      </c>
      <c r="I538">
        <v>7.6459498024679329E-2</v>
      </c>
      <c r="J538">
        <v>3.5932660177372858E-2</v>
      </c>
      <c r="K538">
        <v>1</v>
      </c>
      <c r="L538">
        <f t="shared" si="32"/>
        <v>3.4264383176117037</v>
      </c>
      <c r="M538" t="s">
        <v>605</v>
      </c>
      <c r="N538">
        <v>322</v>
      </c>
      <c r="O538">
        <v>0</v>
      </c>
      <c r="P538">
        <v>969</v>
      </c>
      <c r="Q538">
        <v>0</v>
      </c>
      <c r="R538">
        <v>0</v>
      </c>
      <c r="S538" t="s">
        <v>1106</v>
      </c>
      <c r="T538">
        <v>1</v>
      </c>
      <c r="U538">
        <v>122.44398187829</v>
      </c>
      <c r="W538">
        <v>2393.1179999999999</v>
      </c>
      <c r="X538">
        <v>0</v>
      </c>
      <c r="Y538">
        <v>12.92494010925293</v>
      </c>
      <c r="Z538">
        <v>12.82973670959473</v>
      </c>
      <c r="AA538">
        <f t="shared" si="33"/>
        <v>-0.17910271435432801</v>
      </c>
      <c r="AB538">
        <f t="shared" si="34"/>
        <v>-0.78142262255783379</v>
      </c>
      <c r="AC538" s="13">
        <f t="shared" si="35"/>
        <v>-0.45391654251028785</v>
      </c>
      <c r="AD538" s="13"/>
      <c r="AE538" s="13"/>
      <c r="AF538" s="13"/>
    </row>
    <row r="539" spans="1:32">
      <c r="A539" s="1" t="s">
        <v>1107</v>
      </c>
      <c r="B539">
        <v>232.74431198177197</v>
      </c>
      <c r="C539">
        <v>96.273283439743636</v>
      </c>
      <c r="D539">
        <v>0</v>
      </c>
      <c r="E539">
        <v>2693.5039000000002</v>
      </c>
      <c r="F539">
        <v>2693.5039000000002</v>
      </c>
      <c r="G539">
        <v>0.44683026584867075</v>
      </c>
      <c r="H539">
        <v>2.4291093972242743</v>
      </c>
      <c r="I539">
        <v>6.169759473030676</v>
      </c>
      <c r="J539">
        <v>4.266961277434592</v>
      </c>
      <c r="K539">
        <v>0</v>
      </c>
      <c r="L539">
        <f t="shared" si="32"/>
        <v>3.4303176087096157</v>
      </c>
      <c r="M539" t="s">
        <v>605</v>
      </c>
      <c r="N539">
        <v>336</v>
      </c>
      <c r="O539">
        <v>15</v>
      </c>
      <c r="P539">
        <v>1011</v>
      </c>
      <c r="Q539">
        <v>372.54978662210902</v>
      </c>
      <c r="R539">
        <v>470.20941175662398</v>
      </c>
      <c r="S539" t="s">
        <v>1108</v>
      </c>
      <c r="T539">
        <v>0</v>
      </c>
      <c r="U539">
        <v>0</v>
      </c>
      <c r="V539">
        <v>0</v>
      </c>
      <c r="W539">
        <v>3513.1907000000001</v>
      </c>
      <c r="X539">
        <v>0.133841129591008</v>
      </c>
      <c r="Y539">
        <v>12.800277709960939</v>
      </c>
      <c r="Z539">
        <v>13.20819759368896</v>
      </c>
      <c r="AA539">
        <f t="shared" si="33"/>
        <v>-0.17752230313326875</v>
      </c>
      <c r="AB539">
        <f t="shared" si="34"/>
        <v>-0.54367768853245313</v>
      </c>
      <c r="AC539" s="13">
        <f t="shared" si="35"/>
        <v>-9.2455528937826853E-2</v>
      </c>
      <c r="AD539" s="13"/>
      <c r="AE539" s="13"/>
      <c r="AF539" s="13"/>
    </row>
    <row r="540" spans="1:32">
      <c r="A540" s="1" t="s">
        <v>1109</v>
      </c>
      <c r="B540">
        <v>135.00290068317406</v>
      </c>
      <c r="C540">
        <v>22.886245005371666</v>
      </c>
      <c r="D540">
        <v>700.49290000000008</v>
      </c>
      <c r="E540">
        <v>3422.6278666666672</v>
      </c>
      <c r="F540">
        <v>2722.1349666666665</v>
      </c>
      <c r="G540">
        <v>0.52109704641350207</v>
      </c>
      <c r="H540">
        <v>0.10639132740496465</v>
      </c>
      <c r="I540">
        <v>7.443915236929273E-2</v>
      </c>
      <c r="J540">
        <v>3.1191975699188634E-2</v>
      </c>
      <c r="K540">
        <v>1</v>
      </c>
      <c r="L540">
        <f t="shared" si="32"/>
        <v>3.4349096542344881</v>
      </c>
      <c r="M540" t="s">
        <v>605</v>
      </c>
      <c r="N540">
        <v>326</v>
      </c>
      <c r="O540">
        <v>23</v>
      </c>
      <c r="P540">
        <v>981</v>
      </c>
      <c r="Q540">
        <v>588.71221123505995</v>
      </c>
      <c r="R540">
        <v>743.03632018870405</v>
      </c>
      <c r="S540" t="s">
        <v>1110</v>
      </c>
      <c r="T540">
        <v>0</v>
      </c>
      <c r="U540">
        <v>0</v>
      </c>
      <c r="V540">
        <v>0</v>
      </c>
      <c r="W540">
        <v>4304.6313</v>
      </c>
      <c r="X540">
        <v>0.172613231750813</v>
      </c>
      <c r="Y540">
        <v>12.159390449523929</v>
      </c>
      <c r="Z540">
        <v>13.158926010131839</v>
      </c>
      <c r="AA540">
        <f t="shared" si="33"/>
        <v>-0.17563318043036966</v>
      </c>
      <c r="AB540">
        <f t="shared" si="34"/>
        <v>-0.78283502043582553</v>
      </c>
      <c r="AC540" s="13">
        <f t="shared" si="35"/>
        <v>0.11727292052745877</v>
      </c>
      <c r="AD540" s="13"/>
      <c r="AE540" s="13"/>
      <c r="AF540" s="13"/>
    </row>
    <row r="541" spans="1:32">
      <c r="A541" s="1" t="s">
        <v>1111</v>
      </c>
      <c r="B541">
        <v>188.85359305014586</v>
      </c>
      <c r="C541">
        <v>84.761377769065859</v>
      </c>
      <c r="D541">
        <v>26.423649999999999</v>
      </c>
      <c r="E541">
        <v>2802.4580666666666</v>
      </c>
      <c r="F541">
        <v>2776.0344166666669</v>
      </c>
      <c r="G541">
        <v>0.42903225806451617</v>
      </c>
      <c r="H541">
        <v>1.342340011621274</v>
      </c>
      <c r="I541">
        <v>7.7207224969244162E-2</v>
      </c>
      <c r="J541">
        <v>5.0933231856751769E-2</v>
      </c>
      <c r="K541">
        <v>5.8386180204074992E-32</v>
      </c>
      <c r="L541">
        <f t="shared" si="32"/>
        <v>3.4434248461040577</v>
      </c>
      <c r="M541" t="s">
        <v>605</v>
      </c>
      <c r="N541">
        <v>320</v>
      </c>
      <c r="O541">
        <v>10</v>
      </c>
      <c r="P541">
        <v>963</v>
      </c>
      <c r="Q541">
        <v>260.74616426095702</v>
      </c>
      <c r="R541">
        <v>329.097760668707</v>
      </c>
      <c r="S541" t="s">
        <v>1112</v>
      </c>
      <c r="T541">
        <v>0</v>
      </c>
      <c r="U541">
        <v>0</v>
      </c>
      <c r="V541">
        <v>0</v>
      </c>
      <c r="W541">
        <v>3002.7692999999999</v>
      </c>
      <c r="X541">
        <v>0.109598083565296</v>
      </c>
      <c r="Y541">
        <v>12.125419616699221</v>
      </c>
      <c r="Z541">
        <v>11.07007503509521</v>
      </c>
      <c r="AA541">
        <f t="shared" si="33"/>
        <v>-0.17207681014720017</v>
      </c>
      <c r="AB541">
        <f t="shared" si="34"/>
        <v>-0.6555762740871347</v>
      </c>
      <c r="AC541" s="13">
        <f t="shared" si="35"/>
        <v>-0.20093136790194016</v>
      </c>
      <c r="AD541" s="13"/>
      <c r="AE541" s="13"/>
      <c r="AF541" s="13"/>
    </row>
    <row r="542" spans="1:32">
      <c r="A542" s="1" t="s">
        <v>1113</v>
      </c>
      <c r="B542">
        <v>421.56763869295611</v>
      </c>
      <c r="C542">
        <v>160.331828512215</v>
      </c>
      <c r="D542">
        <v>6412.210266666666</v>
      </c>
      <c r="E542">
        <v>9225.5871999999999</v>
      </c>
      <c r="F542">
        <v>2813.376933333333</v>
      </c>
      <c r="G542">
        <v>0.5</v>
      </c>
      <c r="H542">
        <v>3.4110307413027594</v>
      </c>
      <c r="I542">
        <v>2.4929558464482082</v>
      </c>
      <c r="J542">
        <v>1.3309206299159817</v>
      </c>
      <c r="K542">
        <v>0</v>
      </c>
      <c r="L542">
        <f t="shared" si="32"/>
        <v>3.4492279223891753</v>
      </c>
      <c r="M542" t="s">
        <v>605</v>
      </c>
      <c r="N542">
        <v>320</v>
      </c>
      <c r="O542">
        <v>46</v>
      </c>
      <c r="P542">
        <v>963</v>
      </c>
      <c r="Q542">
        <v>1199.4323556003999</v>
      </c>
      <c r="R542">
        <v>1513.84969907605</v>
      </c>
      <c r="S542" t="s">
        <v>1114</v>
      </c>
      <c r="T542">
        <v>0</v>
      </c>
      <c r="U542">
        <v>0</v>
      </c>
      <c r="V542">
        <v>0</v>
      </c>
      <c r="W542">
        <v>13809.57</v>
      </c>
      <c r="X542">
        <v>0.109623232227799</v>
      </c>
      <c r="Y542">
        <v>10.699673652648929</v>
      </c>
      <c r="Z542">
        <v>13.221035957336429</v>
      </c>
      <c r="AA542">
        <f t="shared" si="33"/>
        <v>-0.16961289230440046</v>
      </c>
      <c r="AB542">
        <f t="shared" si="34"/>
        <v>-0.44257472134924608</v>
      </c>
      <c r="AC542" s="13">
        <f t="shared" si="35"/>
        <v>0.7098152606881093</v>
      </c>
      <c r="AD542" s="13"/>
      <c r="AE542" s="13"/>
      <c r="AF542" s="13"/>
    </row>
    <row r="543" spans="1:32">
      <c r="A543" s="1" t="s">
        <v>1115</v>
      </c>
      <c r="B543">
        <v>132.21220473979204</v>
      </c>
      <c r="C543">
        <v>13.279232775442853</v>
      </c>
      <c r="D543">
        <v>234.76748799999999</v>
      </c>
      <c r="E543">
        <v>3077.6901666666668</v>
      </c>
      <c r="F543">
        <v>2842.9226786666663</v>
      </c>
      <c r="G543">
        <v>0.52229299363057324</v>
      </c>
      <c r="H543">
        <v>0.37509359301957473</v>
      </c>
      <c r="I543">
        <v>7.4742750848424799E-2</v>
      </c>
      <c r="J543">
        <v>3.4336148759818566E-2</v>
      </c>
      <c r="K543">
        <v>1</v>
      </c>
      <c r="L543">
        <f t="shared" si="32"/>
        <v>3.4537650479827211</v>
      </c>
      <c r="M543" t="s">
        <v>605</v>
      </c>
      <c r="N543">
        <v>324</v>
      </c>
      <c r="O543">
        <v>2</v>
      </c>
      <c r="P543">
        <v>975</v>
      </c>
      <c r="Q543">
        <v>51.507396140164502</v>
      </c>
      <c r="R543">
        <v>65.0094653382492</v>
      </c>
      <c r="S543" t="s">
        <v>1116</v>
      </c>
      <c r="T543">
        <v>0</v>
      </c>
      <c r="U543">
        <v>0</v>
      </c>
      <c r="V543">
        <v>0</v>
      </c>
      <c r="W543">
        <v>3858.7006999999999</v>
      </c>
      <c r="X543">
        <v>1.6847501372223302E-2</v>
      </c>
      <c r="AA543">
        <f t="shared" si="33"/>
        <v>-0.1676634176678771</v>
      </c>
      <c r="AB543">
        <f t="shared" si="34"/>
        <v>-0.75516824599781529</v>
      </c>
      <c r="AC543" s="13">
        <f t="shared" si="35"/>
        <v>-0.40394224032611575</v>
      </c>
      <c r="AD543" s="13"/>
      <c r="AE543" s="13"/>
      <c r="AF543" s="13"/>
    </row>
    <row r="544" spans="1:32">
      <c r="A544" s="1" t="s">
        <v>1117</v>
      </c>
      <c r="B544">
        <v>944.18744719830238</v>
      </c>
      <c r="C544">
        <v>94.068139552323146</v>
      </c>
      <c r="D544">
        <v>0</v>
      </c>
      <c r="E544">
        <v>2855.7813333333329</v>
      </c>
      <c r="F544">
        <v>2855.7813333333329</v>
      </c>
      <c r="G544">
        <v>0.48685594111461616</v>
      </c>
      <c r="H544">
        <v>17.122354256308896</v>
      </c>
      <c r="I544">
        <v>3.4002061328110567</v>
      </c>
      <c r="J544">
        <v>0.56880008329513865</v>
      </c>
      <c r="K544">
        <v>0</v>
      </c>
      <c r="L544">
        <f t="shared" si="32"/>
        <v>3.4557249505262755</v>
      </c>
      <c r="M544" t="s">
        <v>605</v>
      </c>
      <c r="N544">
        <v>327</v>
      </c>
      <c r="O544">
        <v>42</v>
      </c>
      <c r="P544">
        <v>984</v>
      </c>
      <c r="Q544">
        <v>1071.7621300506701</v>
      </c>
      <c r="R544">
        <v>1352.7121979681399</v>
      </c>
      <c r="S544" t="s">
        <v>1118</v>
      </c>
      <c r="T544">
        <v>0</v>
      </c>
      <c r="U544">
        <v>0</v>
      </c>
      <c r="V544">
        <v>0</v>
      </c>
      <c r="W544">
        <v>2536.4492</v>
      </c>
      <c r="X544">
        <v>0.53330939881159101</v>
      </c>
      <c r="Y544">
        <v>11.37179565429688</v>
      </c>
      <c r="Z544">
        <v>11.69842052459717</v>
      </c>
      <c r="AA544">
        <f t="shared" si="33"/>
        <v>-0.16681498345680312</v>
      </c>
      <c r="AB544">
        <f t="shared" si="34"/>
        <v>0.96920382866992649</v>
      </c>
      <c r="AC544" s="13">
        <f t="shared" si="35"/>
        <v>0.58594508068169993</v>
      </c>
      <c r="AD544" s="13"/>
      <c r="AE544" s="13"/>
      <c r="AF544" s="13"/>
    </row>
    <row r="545" spans="1:32">
      <c r="A545" s="1" t="s">
        <v>1119</v>
      </c>
      <c r="B545">
        <v>391.84564525343148</v>
      </c>
      <c r="C545">
        <v>117.88271793099929</v>
      </c>
      <c r="D545">
        <v>0</v>
      </c>
      <c r="E545">
        <v>2858.1079000000004</v>
      </c>
      <c r="F545">
        <v>2858.1079000000004</v>
      </c>
      <c r="G545">
        <v>0.49842271293375395</v>
      </c>
      <c r="H545">
        <v>2.8912668583996548</v>
      </c>
      <c r="I545">
        <v>0.15869704047319388</v>
      </c>
      <c r="J545">
        <v>5.0614558675625927E-2</v>
      </c>
      <c r="K545">
        <v>0</v>
      </c>
      <c r="L545">
        <f t="shared" si="32"/>
        <v>3.4560786203576961</v>
      </c>
      <c r="M545" t="s">
        <v>605</v>
      </c>
      <c r="N545">
        <v>327</v>
      </c>
      <c r="O545">
        <v>92</v>
      </c>
      <c r="P545">
        <v>984</v>
      </c>
      <c r="Q545">
        <v>2347.6694277300498</v>
      </c>
      <c r="R545">
        <v>2963.0838622159299</v>
      </c>
      <c r="S545" t="s">
        <v>1120</v>
      </c>
      <c r="T545">
        <v>0</v>
      </c>
      <c r="U545">
        <v>0</v>
      </c>
      <c r="V545">
        <v>0</v>
      </c>
      <c r="W545">
        <v>2865.1379999999999</v>
      </c>
      <c r="X545">
        <v>1.03418539079651</v>
      </c>
      <c r="Y545">
        <v>11.05847835540771</v>
      </c>
      <c r="Z545">
        <v>13.17583084106445</v>
      </c>
      <c r="AA545">
        <f t="shared" si="33"/>
        <v>-0.16666147293758354</v>
      </c>
      <c r="AB545">
        <f t="shared" si="34"/>
        <v>-0.49609191100305255</v>
      </c>
      <c r="AC545" s="13">
        <f t="shared" si="35"/>
        <v>1.8238755844816956</v>
      </c>
      <c r="AD545" s="13"/>
      <c r="AE545" s="13"/>
      <c r="AF545" s="13"/>
    </row>
    <row r="546" spans="1:32">
      <c r="A546" s="1" t="s">
        <v>1121</v>
      </c>
      <c r="B546">
        <v>417.46461053094521</v>
      </c>
      <c r="C546">
        <v>158.49034067117265</v>
      </c>
      <c r="D546">
        <v>3.1111968333333331</v>
      </c>
      <c r="E546">
        <v>2870.0255333333334</v>
      </c>
      <c r="F546">
        <v>2866.9143365</v>
      </c>
      <c r="G546">
        <v>0.45104166666666667</v>
      </c>
      <c r="H546">
        <v>2.4947934631755855</v>
      </c>
      <c r="I546">
        <v>0.27075275807025884</v>
      </c>
      <c r="J546">
        <v>3.8474261427333394E-2</v>
      </c>
      <c r="K546">
        <v>0</v>
      </c>
      <c r="L546">
        <f t="shared" si="32"/>
        <v>3.4574147164061424</v>
      </c>
      <c r="M546" t="s">
        <v>605</v>
      </c>
      <c r="N546">
        <v>330</v>
      </c>
      <c r="O546">
        <v>29</v>
      </c>
      <c r="P546">
        <v>993</v>
      </c>
      <c r="Q546">
        <v>733.31904625536299</v>
      </c>
      <c r="R546">
        <v>925.55016739123698</v>
      </c>
      <c r="S546" t="s">
        <v>1122</v>
      </c>
      <c r="T546">
        <v>0</v>
      </c>
      <c r="U546">
        <v>0</v>
      </c>
      <c r="V546">
        <v>0</v>
      </c>
      <c r="W546">
        <v>2581.9504000000002</v>
      </c>
      <c r="X546">
        <v>0.35846938321945898</v>
      </c>
      <c r="AA546">
        <f t="shared" si="33"/>
        <v>-0.16608041043937222</v>
      </c>
      <c r="AB546">
        <f t="shared" si="34"/>
        <v>-0.53691456641031687</v>
      </c>
      <c r="AC546" s="13">
        <f t="shared" si="35"/>
        <v>0.25757559961331072</v>
      </c>
      <c r="AD546" s="13"/>
      <c r="AE546" s="13"/>
      <c r="AF546" s="13"/>
    </row>
    <row r="547" spans="1:32">
      <c r="A547" s="1" t="s">
        <v>1123</v>
      </c>
      <c r="B547">
        <v>129.47322844209873</v>
      </c>
      <c r="C547">
        <v>17.203544705176231</v>
      </c>
      <c r="D547">
        <v>14.436844000000001</v>
      </c>
      <c r="E547">
        <v>2950.0845000000004</v>
      </c>
      <c r="F547">
        <v>2935.6476559999996</v>
      </c>
      <c r="G547">
        <v>0.50419287211740049</v>
      </c>
      <c r="H547">
        <v>0.15545373794527217</v>
      </c>
      <c r="I547">
        <v>7.9336285742083956E-2</v>
      </c>
      <c r="J547">
        <v>4.1066640540209844E-2</v>
      </c>
      <c r="K547">
        <v>1</v>
      </c>
      <c r="L547">
        <f t="shared" si="32"/>
        <v>3.467703929228517</v>
      </c>
      <c r="M547" t="s">
        <v>605</v>
      </c>
      <c r="N547">
        <v>328</v>
      </c>
      <c r="O547">
        <v>55</v>
      </c>
      <c r="P547">
        <v>987</v>
      </c>
      <c r="Q547">
        <v>1399.2320759961101</v>
      </c>
      <c r="R547">
        <v>1766.0246093027399</v>
      </c>
      <c r="S547" t="s">
        <v>1124</v>
      </c>
      <c r="T547">
        <v>1</v>
      </c>
      <c r="U547">
        <v>122.44398187829</v>
      </c>
      <c r="V547">
        <v>8.8660574150962193E-2</v>
      </c>
      <c r="W547">
        <v>3298.7975999999999</v>
      </c>
      <c r="X547">
        <v>0.53535403605930298</v>
      </c>
      <c r="Y547">
        <v>11.63972091674805</v>
      </c>
      <c r="Z547">
        <v>11.269613265991209</v>
      </c>
      <c r="AA547">
        <f t="shared" si="33"/>
        <v>-0.16154527817116929</v>
      </c>
      <c r="AB547">
        <f t="shared" si="34"/>
        <v>-0.77778333751570228</v>
      </c>
      <c r="AC547" s="13">
        <f t="shared" si="35"/>
        <v>0.90366803430137921</v>
      </c>
      <c r="AD547" s="13"/>
      <c r="AE547" s="13"/>
      <c r="AF547" s="13"/>
    </row>
    <row r="548" spans="1:32">
      <c r="A548" s="1" t="s">
        <v>1125</v>
      </c>
      <c r="B548">
        <v>280.93863910246279</v>
      </c>
      <c r="C548">
        <v>100.29299678269776</v>
      </c>
      <c r="D548">
        <v>160.48789066666669</v>
      </c>
      <c r="E548">
        <v>3125.2239333333332</v>
      </c>
      <c r="F548">
        <v>2964.7360426666669</v>
      </c>
      <c r="G548">
        <v>0.48338692390139337</v>
      </c>
      <c r="H548">
        <v>3.2681653775634296</v>
      </c>
      <c r="I548">
        <v>8.5187101474120938E-2</v>
      </c>
      <c r="J548">
        <v>3.0849836301251373E-2</v>
      </c>
      <c r="K548">
        <v>0</v>
      </c>
      <c r="L548">
        <f t="shared" si="32"/>
        <v>3.4719860331753933</v>
      </c>
      <c r="M548" t="s">
        <v>605</v>
      </c>
      <c r="N548">
        <v>321</v>
      </c>
      <c r="O548">
        <v>158</v>
      </c>
      <c r="P548">
        <v>966</v>
      </c>
      <c r="Q548">
        <v>4106.9950183190103</v>
      </c>
      <c r="R548">
        <v>5183.5963433526304</v>
      </c>
      <c r="S548" t="s">
        <v>1126</v>
      </c>
      <c r="T548">
        <v>0</v>
      </c>
      <c r="U548">
        <v>0</v>
      </c>
      <c r="V548">
        <v>0</v>
      </c>
      <c r="W548">
        <v>3955.3535000000002</v>
      </c>
      <c r="X548">
        <v>1.3105266933417199</v>
      </c>
      <c r="Y548">
        <v>13.442769050598139</v>
      </c>
      <c r="Z548">
        <v>11.39440822601318</v>
      </c>
      <c r="AA548">
        <f t="shared" si="33"/>
        <v>-0.15962598077710166</v>
      </c>
      <c r="AB548">
        <f t="shared" si="34"/>
        <v>-0.45728477146564317</v>
      </c>
      <c r="AC548" s="13">
        <f t="shared" si="35"/>
        <v>3.5308356580444249</v>
      </c>
      <c r="AD548" s="13"/>
      <c r="AE548" s="13"/>
      <c r="AF548" s="13"/>
    </row>
    <row r="549" spans="1:32">
      <c r="A549" s="1" t="s">
        <v>1127</v>
      </c>
      <c r="B549">
        <v>883.38593069021533</v>
      </c>
      <c r="C549">
        <v>48.990723702782411</v>
      </c>
      <c r="D549">
        <v>1.4679798999999998</v>
      </c>
      <c r="E549">
        <v>2978.3753666666671</v>
      </c>
      <c r="F549">
        <v>2976.9073867666666</v>
      </c>
      <c r="G549">
        <v>0.44658119658119655</v>
      </c>
      <c r="H549">
        <v>22.796880397756166</v>
      </c>
      <c r="I549">
        <v>6.5720306507088752E-2</v>
      </c>
      <c r="J549">
        <v>3.8098396338673464E-2</v>
      </c>
      <c r="K549">
        <v>0</v>
      </c>
      <c r="L549">
        <f t="shared" si="32"/>
        <v>3.4737653237156407</v>
      </c>
      <c r="M549" t="s">
        <v>605</v>
      </c>
      <c r="N549">
        <v>322</v>
      </c>
      <c r="O549">
        <v>10</v>
      </c>
      <c r="P549">
        <v>969</v>
      </c>
      <c r="Q549">
        <v>259.131636928072</v>
      </c>
      <c r="R549">
        <v>327.06000363670199</v>
      </c>
      <c r="S549" t="s">
        <v>1128</v>
      </c>
      <c r="T549">
        <v>0</v>
      </c>
      <c r="U549">
        <v>0</v>
      </c>
      <c r="V549">
        <v>0</v>
      </c>
      <c r="W549">
        <v>2732.6433000000002</v>
      </c>
      <c r="X549">
        <v>0.119686313847366</v>
      </c>
      <c r="AA549">
        <f t="shared" si="33"/>
        <v>-0.1588228963956568</v>
      </c>
      <c r="AB549">
        <f t="shared" si="34"/>
        <v>1.5534781534096656</v>
      </c>
      <c r="AC549" s="13">
        <f t="shared" si="35"/>
        <v>-0.20249783957134154</v>
      </c>
      <c r="AD549" s="13"/>
      <c r="AE549" s="13"/>
      <c r="AF549" s="13"/>
    </row>
    <row r="550" spans="1:32">
      <c r="A550" s="1" t="s">
        <v>1129</v>
      </c>
      <c r="B550">
        <v>163.6791779497091</v>
      </c>
      <c r="C550">
        <v>51.370282342271508</v>
      </c>
      <c r="D550">
        <v>0</v>
      </c>
      <c r="E550">
        <v>3018.0840333333331</v>
      </c>
      <c r="F550">
        <v>3018.0840333333331</v>
      </c>
      <c r="G550">
        <v>0.45899893503727368</v>
      </c>
      <c r="H550">
        <v>0.69008655245791906</v>
      </c>
      <c r="I550">
        <v>8.1346979157948085E-2</v>
      </c>
      <c r="J550">
        <v>4.7193467204755528E-2</v>
      </c>
      <c r="K550">
        <v>1</v>
      </c>
      <c r="L550">
        <f t="shared" si="32"/>
        <v>3.479731327787114</v>
      </c>
      <c r="M550" t="s">
        <v>605</v>
      </c>
      <c r="N550">
        <v>323</v>
      </c>
      <c r="O550">
        <v>2</v>
      </c>
      <c r="P550">
        <v>972</v>
      </c>
      <c r="Q550">
        <v>51.666369585041501</v>
      </c>
      <c r="R550">
        <v>65.210111836206707</v>
      </c>
      <c r="S550" t="s">
        <v>1130</v>
      </c>
      <c r="T550">
        <v>0</v>
      </c>
      <c r="U550">
        <v>0</v>
      </c>
      <c r="V550">
        <v>0</v>
      </c>
      <c r="W550">
        <v>3084.6660000000002</v>
      </c>
      <c r="X550">
        <v>2.1140088371385E-2</v>
      </c>
      <c r="Y550">
        <v>13.037410736083981</v>
      </c>
      <c r="Z550">
        <v>12.64547920227051</v>
      </c>
      <c r="AA550">
        <f t="shared" si="33"/>
        <v>-0.15610599664602551</v>
      </c>
      <c r="AB550">
        <f t="shared" si="34"/>
        <v>-0.72273517685934596</v>
      </c>
      <c r="AC550" s="13">
        <f t="shared" si="35"/>
        <v>-0.40378799865270787</v>
      </c>
      <c r="AD550" s="13"/>
      <c r="AE550" s="13"/>
      <c r="AF550" s="13"/>
    </row>
    <row r="551" spans="1:32">
      <c r="A551" s="1" t="s">
        <v>1131</v>
      </c>
      <c r="B551">
        <v>139.74371141208573</v>
      </c>
      <c r="C551">
        <v>34.636105092983556</v>
      </c>
      <c r="D551">
        <v>0</v>
      </c>
      <c r="E551">
        <v>3028.2409666666667</v>
      </c>
      <c r="F551">
        <v>3028.2409666666667</v>
      </c>
      <c r="G551">
        <v>0.48767416934619512</v>
      </c>
      <c r="H551">
        <v>0.55175997501546825</v>
      </c>
      <c r="I551">
        <v>15.523316677886408</v>
      </c>
      <c r="J551">
        <v>2.6061427062265645</v>
      </c>
      <c r="K551">
        <v>1</v>
      </c>
      <c r="L551">
        <f t="shared" si="32"/>
        <v>3.4811904303821506</v>
      </c>
      <c r="M551" t="s">
        <v>605</v>
      </c>
      <c r="N551">
        <v>321</v>
      </c>
      <c r="O551">
        <v>0</v>
      </c>
      <c r="P551">
        <v>966</v>
      </c>
      <c r="Q551">
        <v>0</v>
      </c>
      <c r="R551">
        <v>0</v>
      </c>
      <c r="S551" t="s">
        <v>1132</v>
      </c>
      <c r="T551">
        <v>0</v>
      </c>
      <c r="U551">
        <v>0</v>
      </c>
      <c r="W551">
        <v>3628.3562000000002</v>
      </c>
      <c r="X551">
        <v>0</v>
      </c>
      <c r="Y551">
        <v>12.078782081604</v>
      </c>
      <c r="Z551">
        <v>11.897420883178709</v>
      </c>
      <c r="AA551">
        <f t="shared" si="33"/>
        <v>-0.15543582624772273</v>
      </c>
      <c r="AB551">
        <f t="shared" si="34"/>
        <v>-0.73697789345173692</v>
      </c>
      <c r="AC551" s="13">
        <f t="shared" si="35"/>
        <v>-0.45391654251028785</v>
      </c>
      <c r="AD551" s="13"/>
      <c r="AE551" s="13"/>
      <c r="AF551" s="13"/>
    </row>
    <row r="552" spans="1:32">
      <c r="A552" s="1" t="s">
        <v>1133</v>
      </c>
      <c r="B552">
        <v>125.56755806585636</v>
      </c>
      <c r="C552">
        <v>22.272550963830763</v>
      </c>
      <c r="D552">
        <v>20.551648333333333</v>
      </c>
      <c r="E552">
        <v>3083.6507000000001</v>
      </c>
      <c r="F552">
        <v>3063.0990516666666</v>
      </c>
      <c r="G552">
        <v>0.47014115092290987</v>
      </c>
      <c r="H552">
        <v>5.0004222610469044E-2</v>
      </c>
      <c r="I552">
        <v>0.54568198872854123</v>
      </c>
      <c r="J552">
        <v>0.18128563425340125</v>
      </c>
      <c r="K552">
        <v>1</v>
      </c>
      <c r="L552">
        <f t="shared" si="32"/>
        <v>3.4861610408472901</v>
      </c>
      <c r="M552" t="s">
        <v>605</v>
      </c>
      <c r="N552">
        <v>317</v>
      </c>
      <c r="O552">
        <v>1</v>
      </c>
      <c r="P552">
        <v>954</v>
      </c>
      <c r="Q552">
        <v>26.320603373511702</v>
      </c>
      <c r="R552">
        <v>33.220245652407201</v>
      </c>
      <c r="S552" t="s">
        <v>1134</v>
      </c>
      <c r="T552">
        <v>0</v>
      </c>
      <c r="U552">
        <v>0</v>
      </c>
      <c r="V552">
        <v>0</v>
      </c>
      <c r="W552">
        <v>3270.0608000000002</v>
      </c>
      <c r="X552">
        <v>1.0158907642453301E-2</v>
      </c>
      <c r="Y552">
        <v>11.849178314208981</v>
      </c>
      <c r="Z552">
        <v>10.88607978820801</v>
      </c>
      <c r="AA552">
        <f t="shared" si="33"/>
        <v>-0.1531358351045442</v>
      </c>
      <c r="AB552">
        <f t="shared" si="34"/>
        <v>-0.78864088629257001</v>
      </c>
      <c r="AC552" s="13">
        <f t="shared" si="35"/>
        <v>-0.42837935979038866</v>
      </c>
      <c r="AD552" s="13"/>
      <c r="AE552" s="13"/>
      <c r="AF552" s="13"/>
    </row>
    <row r="553" spans="1:32">
      <c r="A553" s="1" t="s">
        <v>1135</v>
      </c>
      <c r="B553">
        <v>450.98849440195409</v>
      </c>
      <c r="C553">
        <v>167.84714596962019</v>
      </c>
      <c r="D553">
        <v>0</v>
      </c>
      <c r="E553">
        <v>3136.0560666666665</v>
      </c>
      <c r="F553">
        <v>3136.0560666666665</v>
      </c>
      <c r="G553">
        <v>0.47515808491418249</v>
      </c>
      <c r="H553">
        <v>3.8716883011069143</v>
      </c>
      <c r="I553">
        <v>3.6071562675446791</v>
      </c>
      <c r="J553">
        <v>2.7000935814699396</v>
      </c>
      <c r="K553">
        <v>0</v>
      </c>
      <c r="L553">
        <f t="shared" si="32"/>
        <v>3.4963838184340492</v>
      </c>
      <c r="M553" t="s">
        <v>605</v>
      </c>
      <c r="N553">
        <v>379</v>
      </c>
      <c r="O553">
        <v>15</v>
      </c>
      <c r="P553">
        <v>1140</v>
      </c>
      <c r="Q553">
        <v>330.39283708329202</v>
      </c>
      <c r="R553">
        <v>417.00150463679603</v>
      </c>
      <c r="S553" t="s">
        <v>1136</v>
      </c>
      <c r="T553">
        <v>0</v>
      </c>
      <c r="U553">
        <v>0</v>
      </c>
      <c r="V553">
        <v>0</v>
      </c>
      <c r="W553">
        <v>2317.4769999999999</v>
      </c>
      <c r="X553">
        <v>0.17993771012044299</v>
      </c>
      <c r="Y553">
        <v>11.72744083404541</v>
      </c>
      <c r="Z553">
        <v>13.83730411529541</v>
      </c>
      <c r="AA553">
        <f t="shared" si="33"/>
        <v>-0.14832201677996487</v>
      </c>
      <c r="AB553">
        <f t="shared" si="34"/>
        <v>-0.39514338030299928</v>
      </c>
      <c r="AC553" s="13">
        <f t="shared" si="35"/>
        <v>-0.13335769626313107</v>
      </c>
      <c r="AD553" s="13"/>
      <c r="AE553" s="13"/>
      <c r="AF553" s="13"/>
    </row>
    <row r="554" spans="1:32">
      <c r="A554" s="1" t="s">
        <v>1137</v>
      </c>
      <c r="B554">
        <v>110.5519109787315</v>
      </c>
      <c r="C554">
        <v>21.426582479884761</v>
      </c>
      <c r="D554">
        <v>41.030021666666663</v>
      </c>
      <c r="E554">
        <v>3295.3817333333336</v>
      </c>
      <c r="F554">
        <v>3254.3517116666667</v>
      </c>
      <c r="G554">
        <v>0.48397435897435903</v>
      </c>
      <c r="H554">
        <v>0.14397552880627185</v>
      </c>
      <c r="I554">
        <v>6.9834415251128656E-2</v>
      </c>
      <c r="J554">
        <v>4.7004529827940261E-2</v>
      </c>
      <c r="K554">
        <v>1</v>
      </c>
      <c r="L554">
        <f t="shared" si="32"/>
        <v>3.5124644871938879</v>
      </c>
      <c r="M554" t="s">
        <v>605</v>
      </c>
      <c r="N554">
        <v>322</v>
      </c>
      <c r="O554">
        <v>36</v>
      </c>
      <c r="P554">
        <v>969</v>
      </c>
      <c r="Q554">
        <v>932.87389294106003</v>
      </c>
      <c r="R554">
        <v>1177.41601309213</v>
      </c>
      <c r="S554" t="s">
        <v>1138</v>
      </c>
      <c r="T554">
        <v>0</v>
      </c>
      <c r="U554">
        <v>0</v>
      </c>
      <c r="V554">
        <v>0</v>
      </c>
      <c r="W554">
        <v>4667.3877000000002</v>
      </c>
      <c r="X554">
        <v>0.25226445471674203</v>
      </c>
      <c r="Y554">
        <v>12.97864437103271</v>
      </c>
      <c r="Z554">
        <v>11.17562961578369</v>
      </c>
      <c r="AA554">
        <f t="shared" si="33"/>
        <v>-0.14051668450836721</v>
      </c>
      <c r="AB554">
        <f t="shared" si="34"/>
        <v>-0.77896518472668375</v>
      </c>
      <c r="AC554" s="13">
        <f t="shared" si="35"/>
        <v>0.45119078806991975</v>
      </c>
      <c r="AD554" s="13"/>
      <c r="AE554" s="13"/>
      <c r="AF554" s="13"/>
    </row>
    <row r="555" spans="1:32">
      <c r="A555" s="1" t="s">
        <v>1139</v>
      </c>
      <c r="B555">
        <v>196.85741544116624</v>
      </c>
      <c r="C555">
        <v>65.571858801413825</v>
      </c>
      <c r="D555">
        <v>572.82261333333338</v>
      </c>
      <c r="E555">
        <v>3929.0626666666667</v>
      </c>
      <c r="F555">
        <v>3356.240053333333</v>
      </c>
      <c r="G555">
        <v>0.44646464646464645</v>
      </c>
      <c r="H555">
        <v>1.3130501045705221</v>
      </c>
      <c r="I555">
        <v>0.10121407801232234</v>
      </c>
      <c r="J555">
        <v>3.6103719295628486E-2</v>
      </c>
      <c r="K555">
        <v>3.4835767424687237E-53</v>
      </c>
      <c r="L555">
        <f t="shared" si="32"/>
        <v>3.5258530159557058</v>
      </c>
      <c r="M555" t="s">
        <v>605</v>
      </c>
      <c r="N555">
        <v>340</v>
      </c>
      <c r="O555">
        <v>3</v>
      </c>
      <c r="P555">
        <v>1023</v>
      </c>
      <c r="Q555">
        <v>73.635940229707302</v>
      </c>
      <c r="R555">
        <v>92.938751766558596</v>
      </c>
      <c r="S555" t="s">
        <v>1140</v>
      </c>
      <c r="T555">
        <v>0</v>
      </c>
      <c r="U555">
        <v>0</v>
      </c>
      <c r="V555">
        <v>0</v>
      </c>
      <c r="W555">
        <v>4356.2885999999999</v>
      </c>
      <c r="X555">
        <v>2.1334388122623098E-2</v>
      </c>
      <c r="Y555">
        <v>9.2518548965454102</v>
      </c>
      <c r="Z555">
        <v>12.68766403198242</v>
      </c>
      <c r="AA555">
        <f t="shared" si="33"/>
        <v>-0.13379393185495894</v>
      </c>
      <c r="AB555">
        <f t="shared" si="34"/>
        <v>-0.65859209254266537</v>
      </c>
      <c r="AC555" s="13">
        <f t="shared" si="35"/>
        <v>-0.38247234217367815</v>
      </c>
      <c r="AD555" s="13"/>
      <c r="AE555" s="13"/>
      <c r="AF555" s="13"/>
    </row>
    <row r="556" spans="1:32">
      <c r="A556" s="1" t="s">
        <v>1141</v>
      </c>
      <c r="B556">
        <v>131.567940745996</v>
      </c>
      <c r="C556">
        <v>15.953189778722829</v>
      </c>
      <c r="D556">
        <v>335.19706333333335</v>
      </c>
      <c r="E556">
        <v>3768.2549999999997</v>
      </c>
      <c r="F556">
        <v>3433.0579366666666</v>
      </c>
      <c r="G556">
        <v>0.53739316239316237</v>
      </c>
      <c r="H556">
        <v>0.78876409868234421</v>
      </c>
      <c r="I556">
        <v>0.16000702009146542</v>
      </c>
      <c r="J556">
        <v>5.7113191442013655E-3</v>
      </c>
      <c r="K556">
        <v>1</v>
      </c>
      <c r="L556">
        <f t="shared" si="32"/>
        <v>3.5356811326894602</v>
      </c>
      <c r="M556" t="s">
        <v>605</v>
      </c>
      <c r="N556">
        <v>322</v>
      </c>
      <c r="O556">
        <v>29</v>
      </c>
      <c r="P556">
        <v>969</v>
      </c>
      <c r="Q556">
        <v>751.48174709140903</v>
      </c>
      <c r="R556">
        <v>948.47401054643797</v>
      </c>
      <c r="S556" t="s">
        <v>1142</v>
      </c>
      <c r="T556">
        <v>0</v>
      </c>
      <c r="U556">
        <v>0</v>
      </c>
      <c r="V556">
        <v>0</v>
      </c>
      <c r="W556">
        <v>3730.7449999999999</v>
      </c>
      <c r="X556">
        <v>0.25423179835299298</v>
      </c>
      <c r="Y556">
        <v>13.5618839263916</v>
      </c>
      <c r="Z556">
        <v>11.369900703430179</v>
      </c>
      <c r="AA556">
        <f t="shared" si="33"/>
        <v>-0.12872536737976215</v>
      </c>
      <c r="AB556">
        <f t="shared" si="34"/>
        <v>-0.71257489999214907</v>
      </c>
      <c r="AC556" s="13">
        <f t="shared" si="35"/>
        <v>0.27519769601265676</v>
      </c>
      <c r="AD556" s="13"/>
      <c r="AE556" s="13"/>
      <c r="AF556" s="13"/>
    </row>
    <row r="557" spans="1:32">
      <c r="A557" s="1" t="s">
        <v>1143</v>
      </c>
      <c r="B557">
        <v>107.690173962119</v>
      </c>
      <c r="C557">
        <v>14.572638083906751</v>
      </c>
      <c r="D557">
        <v>428.73532999999998</v>
      </c>
      <c r="E557">
        <v>3939.6366333333335</v>
      </c>
      <c r="F557">
        <v>3510.9013033333335</v>
      </c>
      <c r="G557">
        <v>0.50102880658436222</v>
      </c>
      <c r="H557">
        <v>0.10624588701345444</v>
      </c>
      <c r="I557">
        <v>7.8539120336008447E-2</v>
      </c>
      <c r="J557">
        <v>3.824502995821473E-2</v>
      </c>
      <c r="K557">
        <v>1</v>
      </c>
      <c r="L557">
        <f t="shared" si="32"/>
        <v>3.5454186209719913</v>
      </c>
      <c r="M557" t="s">
        <v>605</v>
      </c>
      <c r="N557">
        <v>334</v>
      </c>
      <c r="O557">
        <v>1</v>
      </c>
      <c r="P557">
        <v>1005</v>
      </c>
      <c r="Q557">
        <v>24.9849309635126</v>
      </c>
      <c r="R557">
        <v>31.534442141688</v>
      </c>
      <c r="S557" t="s">
        <v>1144</v>
      </c>
      <c r="T557">
        <v>0</v>
      </c>
      <c r="U557">
        <v>0</v>
      </c>
      <c r="V557">
        <v>0</v>
      </c>
      <c r="W557">
        <v>3793.3087999999998</v>
      </c>
      <c r="X557">
        <v>8.3131755953240703E-3</v>
      </c>
      <c r="AA557">
        <f t="shared" si="33"/>
        <v>-0.12358913990517385</v>
      </c>
      <c r="AB557">
        <f t="shared" si="34"/>
        <v>-0.78284999562219726</v>
      </c>
      <c r="AC557" s="13">
        <f t="shared" si="35"/>
        <v>-0.42967527652542825</v>
      </c>
      <c r="AD557" s="13"/>
      <c r="AE557" s="13"/>
      <c r="AF557" s="13"/>
    </row>
    <row r="558" spans="1:32">
      <c r="A558" s="1" t="s">
        <v>1145</v>
      </c>
      <c r="B558">
        <v>1068.6450883416071</v>
      </c>
      <c r="C558">
        <v>174.93313429483933</v>
      </c>
      <c r="D558">
        <v>8137.695333333334</v>
      </c>
      <c r="E558">
        <v>11650.124900000001</v>
      </c>
      <c r="F558">
        <v>3512.4295666666671</v>
      </c>
      <c r="G558">
        <v>0.50053248136315232</v>
      </c>
      <c r="H558">
        <v>21.241751558513407</v>
      </c>
      <c r="I558">
        <v>8.0425282960612632E-2</v>
      </c>
      <c r="J558">
        <v>6.0295274128353657E-2</v>
      </c>
      <c r="K558">
        <v>0</v>
      </c>
      <c r="L558">
        <f t="shared" si="32"/>
        <v>3.5456076242683823</v>
      </c>
      <c r="M558" t="s">
        <v>605</v>
      </c>
      <c r="N558">
        <v>323</v>
      </c>
      <c r="O558">
        <v>0</v>
      </c>
      <c r="P558">
        <v>972</v>
      </c>
      <c r="Q558">
        <v>0</v>
      </c>
      <c r="R558">
        <v>0</v>
      </c>
      <c r="S558" t="s">
        <v>1146</v>
      </c>
      <c r="T558">
        <v>0</v>
      </c>
      <c r="U558">
        <v>0</v>
      </c>
      <c r="W558">
        <v>19620.45</v>
      </c>
      <c r="X558">
        <v>0</v>
      </c>
      <c r="Y558">
        <v>9.7076787948608398</v>
      </c>
      <c r="Z558">
        <v>12.86546516418457</v>
      </c>
      <c r="AA558">
        <f t="shared" si="33"/>
        <v>-0.12348830269248383</v>
      </c>
      <c r="AB558">
        <f t="shared" si="34"/>
        <v>1.3933552057338767</v>
      </c>
      <c r="AC558" s="13">
        <f t="shared" si="35"/>
        <v>-0.45391654251028785</v>
      </c>
      <c r="AD558" s="13"/>
      <c r="AE558" s="13"/>
      <c r="AF558" s="13"/>
    </row>
    <row r="559" spans="1:32">
      <c r="A559" s="1" t="s">
        <v>1147</v>
      </c>
      <c r="B559">
        <v>263.89846041268362</v>
      </c>
      <c r="C559">
        <v>80.047367143606252</v>
      </c>
      <c r="D559">
        <v>0</v>
      </c>
      <c r="E559">
        <v>3552.6213000000002</v>
      </c>
      <c r="F559">
        <v>3552.6213000000002</v>
      </c>
      <c r="G559">
        <v>0.46794871794871795</v>
      </c>
      <c r="H559">
        <v>1.3388970859433813</v>
      </c>
      <c r="I559">
        <v>7.5699102437431179E-2</v>
      </c>
      <c r="J559">
        <v>3.5615488006648446E-2</v>
      </c>
      <c r="K559">
        <v>2.7419385110773328E-60</v>
      </c>
      <c r="L559">
        <f t="shared" si="32"/>
        <v>3.5505489153176772</v>
      </c>
      <c r="M559" t="s">
        <v>605</v>
      </c>
      <c r="N559">
        <v>322</v>
      </c>
      <c r="O559">
        <v>12</v>
      </c>
      <c r="P559">
        <v>969</v>
      </c>
      <c r="Q559">
        <v>310.95796431368598</v>
      </c>
      <c r="R559">
        <v>392.47200436404302</v>
      </c>
      <c r="S559" t="s">
        <v>1148</v>
      </c>
      <c r="T559">
        <v>0</v>
      </c>
      <c r="U559">
        <v>0</v>
      </c>
      <c r="V559">
        <v>0</v>
      </c>
      <c r="W559">
        <v>3794.9944</v>
      </c>
      <c r="X559">
        <v>0.10341833557489299</v>
      </c>
      <c r="Y559">
        <v>12.3448371887207</v>
      </c>
      <c r="Z559">
        <v>13.19480133056641</v>
      </c>
      <c r="AA559">
        <f t="shared" si="33"/>
        <v>-0.1208363890633886</v>
      </c>
      <c r="AB559">
        <f t="shared" si="34"/>
        <v>-0.65593077295196267</v>
      </c>
      <c r="AC559" s="13">
        <f t="shared" si="35"/>
        <v>-0.15221409898355268</v>
      </c>
      <c r="AD559" s="13"/>
      <c r="AE559" s="13"/>
      <c r="AF559" s="13"/>
    </row>
    <row r="560" spans="1:32">
      <c r="A560" s="1" t="s">
        <v>1149</v>
      </c>
      <c r="B560">
        <v>263.81790571029018</v>
      </c>
      <c r="C560">
        <v>95.277899549460642</v>
      </c>
      <c r="D560">
        <v>264.66577000000001</v>
      </c>
      <c r="E560">
        <v>3909.7290333333331</v>
      </c>
      <c r="F560">
        <v>3645.0632633333335</v>
      </c>
      <c r="G560">
        <v>0.48465608465608467</v>
      </c>
      <c r="H560">
        <v>1.5362947028121716</v>
      </c>
      <c r="I560">
        <v>0.38436396432318443</v>
      </c>
      <c r="J560">
        <v>0.12663207584062344</v>
      </c>
      <c r="K560">
        <v>1.7974798736890997E-134</v>
      </c>
      <c r="L560">
        <f t="shared" si="32"/>
        <v>3.5617050702886015</v>
      </c>
      <c r="M560" t="s">
        <v>605</v>
      </c>
      <c r="N560">
        <v>325</v>
      </c>
      <c r="O560">
        <v>19</v>
      </c>
      <c r="P560">
        <v>978</v>
      </c>
      <c r="Q560">
        <v>487.81928092870498</v>
      </c>
      <c r="R560">
        <v>615.69547310381699</v>
      </c>
      <c r="S560" t="s">
        <v>1150</v>
      </c>
      <c r="T560">
        <v>2</v>
      </c>
      <c r="U560">
        <v>244.887963756581</v>
      </c>
      <c r="V560">
        <v>0.51329806087399199</v>
      </c>
      <c r="W560">
        <v>3889.9414000000002</v>
      </c>
      <c r="X560">
        <v>0.15827885558991101</v>
      </c>
      <c r="Y560">
        <v>13.33497333526611</v>
      </c>
      <c r="Z560">
        <v>12.3503360748291</v>
      </c>
      <c r="AA560">
        <f t="shared" si="33"/>
        <v>-0.11473692327447042</v>
      </c>
      <c r="AB560">
        <f t="shared" si="34"/>
        <v>-0.63560584071509563</v>
      </c>
      <c r="AC560" s="13">
        <f t="shared" si="35"/>
        <v>1.9383021887354471E-2</v>
      </c>
      <c r="AD560" s="13"/>
      <c r="AE560" s="13"/>
      <c r="AF560" s="13"/>
    </row>
    <row r="561" spans="1:32">
      <c r="A561" s="1" t="s">
        <v>1151</v>
      </c>
      <c r="B561">
        <v>145.01822318872385</v>
      </c>
      <c r="C561">
        <v>28.436558632788199</v>
      </c>
      <c r="D561">
        <v>0</v>
      </c>
      <c r="E561">
        <v>3748.8709333333331</v>
      </c>
      <c r="F561">
        <v>3748.8709333333331</v>
      </c>
      <c r="G561">
        <v>0.47909967845659163</v>
      </c>
      <c r="H561">
        <v>0.13819127129340306</v>
      </c>
      <c r="I561">
        <v>8.8948331786932636E-2</v>
      </c>
      <c r="J561">
        <v>5.2672133456857645E-2</v>
      </c>
      <c r="K561">
        <v>1</v>
      </c>
      <c r="L561">
        <f t="shared" si="32"/>
        <v>3.5739004887261601</v>
      </c>
      <c r="M561" t="s">
        <v>605</v>
      </c>
      <c r="N561">
        <v>321</v>
      </c>
      <c r="O561">
        <v>0</v>
      </c>
      <c r="P561">
        <v>966</v>
      </c>
      <c r="Q561">
        <v>0</v>
      </c>
      <c r="R561">
        <v>0</v>
      </c>
      <c r="S561" t="s">
        <v>1152</v>
      </c>
      <c r="T561">
        <v>0</v>
      </c>
      <c r="U561">
        <v>0</v>
      </c>
      <c r="W561">
        <v>3429.2975999999999</v>
      </c>
      <c r="X561">
        <v>0</v>
      </c>
      <c r="Y561">
        <v>13.293352127075201</v>
      </c>
      <c r="Z561">
        <v>11.18574047088623</v>
      </c>
      <c r="AA561">
        <f t="shared" si="33"/>
        <v>-0.1078875303260626</v>
      </c>
      <c r="AB561">
        <f t="shared" si="34"/>
        <v>-0.77956075747905285</v>
      </c>
      <c r="AC561" s="13">
        <f t="shared" si="35"/>
        <v>-0.45391654251028785</v>
      </c>
      <c r="AD561" s="13"/>
      <c r="AE561" s="13"/>
      <c r="AF561" s="13"/>
    </row>
    <row r="562" spans="1:32">
      <c r="A562" s="1" t="s">
        <v>1153</v>
      </c>
      <c r="B562">
        <v>129.84167408232904</v>
      </c>
      <c r="C562">
        <v>27.810494244170584</v>
      </c>
      <c r="D562">
        <v>0</v>
      </c>
      <c r="E562">
        <v>3806.8948666666661</v>
      </c>
      <c r="F562">
        <v>3806.8948666666661</v>
      </c>
      <c r="G562">
        <v>0.55797101449275366</v>
      </c>
      <c r="H562">
        <v>9.8488467040646968E-2</v>
      </c>
      <c r="I562">
        <v>7.4411911719223803E-2</v>
      </c>
      <c r="J562">
        <v>4.0662878616246026E-2</v>
      </c>
      <c r="K562">
        <v>1</v>
      </c>
      <c r="L562">
        <f t="shared" si="32"/>
        <v>3.5805708832611769</v>
      </c>
      <c r="M562" t="s">
        <v>605</v>
      </c>
      <c r="N562">
        <v>332</v>
      </c>
      <c r="O562">
        <v>1</v>
      </c>
      <c r="P562">
        <v>999</v>
      </c>
      <c r="Q562">
        <v>25.134990608939098</v>
      </c>
      <c r="R562">
        <v>31.723838190586999</v>
      </c>
      <c r="S562" t="s">
        <v>1154</v>
      </c>
      <c r="T562">
        <v>1</v>
      </c>
      <c r="U562">
        <v>122.44398187829</v>
      </c>
      <c r="V562">
        <v>4.8763315783029197</v>
      </c>
      <c r="W562">
        <v>4822.6499999999996</v>
      </c>
      <c r="X562">
        <v>6.5780925820009897E-3</v>
      </c>
      <c r="AA562">
        <f t="shared" si="33"/>
        <v>-0.10405902016094458</v>
      </c>
      <c r="AB562">
        <f t="shared" si="34"/>
        <v>-0.78364873391388112</v>
      </c>
      <c r="AC562" s="13">
        <f t="shared" si="35"/>
        <v>-0.42952968333633001</v>
      </c>
      <c r="AD562" s="13"/>
      <c r="AE562" s="13"/>
      <c r="AF562" s="13"/>
    </row>
    <row r="563" spans="1:32">
      <c r="A563" s="1" t="s">
        <v>1155</v>
      </c>
      <c r="B563">
        <v>180.69590039630521</v>
      </c>
      <c r="C563">
        <v>74.16683051917974</v>
      </c>
      <c r="D563">
        <v>616.06960533333336</v>
      </c>
      <c r="E563">
        <v>4789.6032333333333</v>
      </c>
      <c r="F563">
        <v>4173.5336280000001</v>
      </c>
      <c r="G563">
        <v>0.50262881177707674</v>
      </c>
      <c r="H563">
        <v>0.61414201775667054</v>
      </c>
      <c r="I563">
        <v>8.9319085494776587E-2</v>
      </c>
      <c r="J563">
        <v>5.7912095057177509E-2</v>
      </c>
      <c r="K563">
        <v>1</v>
      </c>
      <c r="L563">
        <f t="shared" si="32"/>
        <v>3.6205039171534228</v>
      </c>
      <c r="M563" t="s">
        <v>605</v>
      </c>
      <c r="N563">
        <v>327</v>
      </c>
      <c r="O563">
        <v>21</v>
      </c>
      <c r="P563">
        <v>984</v>
      </c>
      <c r="Q563">
        <v>535.88106502533901</v>
      </c>
      <c r="R563">
        <v>676.35609898407097</v>
      </c>
      <c r="S563" t="s">
        <v>1156</v>
      </c>
      <c r="T563">
        <v>0</v>
      </c>
      <c r="U563">
        <v>0</v>
      </c>
      <c r="V563">
        <v>0</v>
      </c>
      <c r="W563">
        <v>5160.9717000000001</v>
      </c>
      <c r="X563">
        <v>0.131052084432873</v>
      </c>
      <c r="Y563">
        <v>12.50588226318359</v>
      </c>
      <c r="Z563">
        <v>13.8435173034668</v>
      </c>
      <c r="AA563">
        <f t="shared" si="33"/>
        <v>-7.9867619405205412E-2</v>
      </c>
      <c r="AB563">
        <f t="shared" si="34"/>
        <v>-0.73055476225276683</v>
      </c>
      <c r="AC563" s="13">
        <f t="shared" si="35"/>
        <v>6.601426908570987E-2</v>
      </c>
      <c r="AD563" s="13"/>
      <c r="AE563" s="13"/>
      <c r="AF563" s="13"/>
    </row>
    <row r="564" spans="1:32">
      <c r="A564" s="1" t="s">
        <v>1157</v>
      </c>
      <c r="B564">
        <v>129.67233953410667</v>
      </c>
      <c r="C564">
        <v>31.427275254254752</v>
      </c>
      <c r="D564">
        <v>496.91198000000003</v>
      </c>
      <c r="E564">
        <v>4731.1956666666665</v>
      </c>
      <c r="F564">
        <v>4234.2836866666667</v>
      </c>
      <c r="G564">
        <v>0.54739084132055371</v>
      </c>
      <c r="H564">
        <v>0.17967879788530169</v>
      </c>
      <c r="I564">
        <v>7.3048440779278648E-2</v>
      </c>
      <c r="J564">
        <v>3.2105320262788069E-2</v>
      </c>
      <c r="K564">
        <v>1</v>
      </c>
      <c r="L564">
        <f t="shared" si="32"/>
        <v>3.6267799513278574</v>
      </c>
      <c r="M564" t="s">
        <v>605</v>
      </c>
      <c r="N564">
        <v>323</v>
      </c>
      <c r="O564">
        <v>7</v>
      </c>
      <c r="P564">
        <v>972</v>
      </c>
      <c r="Q564">
        <v>180.83229354764501</v>
      </c>
      <c r="R564">
        <v>228.235391426723</v>
      </c>
      <c r="S564" t="s">
        <v>1158</v>
      </c>
      <c r="T564">
        <v>0</v>
      </c>
      <c r="U564">
        <v>0</v>
      </c>
      <c r="V564">
        <v>0</v>
      </c>
      <c r="W564">
        <v>5089.5860000000002</v>
      </c>
      <c r="X564">
        <v>4.4843606420389301E-2</v>
      </c>
      <c r="Y564">
        <v>11.993406295776371</v>
      </c>
      <c r="Z564">
        <v>12.803566932678221</v>
      </c>
      <c r="AA564">
        <f t="shared" si="33"/>
        <v>-7.5859235213104503E-2</v>
      </c>
      <c r="AB564">
        <f t="shared" si="34"/>
        <v>-0.77528901813370876</v>
      </c>
      <c r="AC564" s="13">
        <f t="shared" si="35"/>
        <v>-0.27846663900875801</v>
      </c>
      <c r="AD564" s="13"/>
      <c r="AE564" s="13"/>
      <c r="AF564" s="13"/>
    </row>
    <row r="565" spans="1:32">
      <c r="A565" s="1" t="s">
        <v>1159</v>
      </c>
      <c r="B565">
        <v>137.57390742675753</v>
      </c>
      <c r="C565">
        <v>18.904459347993104</v>
      </c>
      <c r="D565">
        <v>602.87319833333333</v>
      </c>
      <c r="E565">
        <v>5095.3122000000003</v>
      </c>
      <c r="F565">
        <v>4492.4390016666666</v>
      </c>
      <c r="G565">
        <v>0.48290598290598291</v>
      </c>
      <c r="H565">
        <v>9.330952540878891E-2</v>
      </c>
      <c r="I565">
        <v>8.4285922759949325E-2</v>
      </c>
      <c r="J565">
        <v>3.427420278003749E-2</v>
      </c>
      <c r="K565">
        <v>1</v>
      </c>
      <c r="L565">
        <f t="shared" si="32"/>
        <v>3.6524821889709012</v>
      </c>
      <c r="M565" t="s">
        <v>605</v>
      </c>
      <c r="N565">
        <v>322</v>
      </c>
      <c r="O565">
        <v>56</v>
      </c>
      <c r="P565">
        <v>969</v>
      </c>
      <c r="Q565">
        <v>1451.1371667972001</v>
      </c>
      <c r="R565">
        <v>1831.53602036553</v>
      </c>
      <c r="S565" t="s">
        <v>1160</v>
      </c>
      <c r="T565">
        <v>0</v>
      </c>
      <c r="U565">
        <v>0</v>
      </c>
      <c r="V565">
        <v>0</v>
      </c>
      <c r="W565">
        <v>6278.4830000000002</v>
      </c>
      <c r="X565">
        <v>0.29171633026091398</v>
      </c>
      <c r="Y565">
        <v>11.886410713195801</v>
      </c>
      <c r="Z565">
        <v>13.81334972381592</v>
      </c>
      <c r="AA565">
        <f t="shared" si="33"/>
        <v>-5.8825742464880759E-2</v>
      </c>
      <c r="AB565">
        <f t="shared" si="34"/>
        <v>-0.78418198066425171</v>
      </c>
      <c r="AC565" s="13">
        <f t="shared" si="35"/>
        <v>0.95402819394780858</v>
      </c>
      <c r="AD565" s="13"/>
      <c r="AE565" s="13"/>
      <c r="AF565" s="13"/>
    </row>
    <row r="566" spans="1:32">
      <c r="A566" s="1" t="s">
        <v>1161</v>
      </c>
      <c r="B566">
        <v>122.23529317999419</v>
      </c>
      <c r="C566">
        <v>20.521631061394356</v>
      </c>
      <c r="D566">
        <v>496.16175366666658</v>
      </c>
      <c r="E566">
        <v>5051.0666000000001</v>
      </c>
      <c r="F566">
        <v>4554.9048463333338</v>
      </c>
      <c r="G566">
        <v>0.51534391534391533</v>
      </c>
      <c r="H566">
        <v>8.2006912100940271E-2</v>
      </c>
      <c r="I566">
        <v>13.65839954489635</v>
      </c>
      <c r="J566">
        <v>2.1262482585842788</v>
      </c>
      <c r="K566">
        <v>1</v>
      </c>
      <c r="L566">
        <f t="shared" si="32"/>
        <v>3.6584793088295422</v>
      </c>
      <c r="M566" t="s">
        <v>605</v>
      </c>
      <c r="N566">
        <v>325</v>
      </c>
      <c r="O566">
        <v>86</v>
      </c>
      <c r="P566">
        <v>978</v>
      </c>
      <c r="Q566">
        <v>2208.0241136772902</v>
      </c>
      <c r="R566">
        <v>2786.8321414172701</v>
      </c>
      <c r="S566" t="s">
        <v>1162</v>
      </c>
      <c r="T566">
        <v>1</v>
      </c>
      <c r="U566">
        <v>122.44398187829</v>
      </c>
      <c r="V566">
        <v>5.67015299802665E-2</v>
      </c>
      <c r="W566">
        <v>6127.7879999999996</v>
      </c>
      <c r="X566">
        <v>0.45478599152210802</v>
      </c>
      <c r="Y566">
        <v>9.6114797592163086</v>
      </c>
      <c r="Z566">
        <v>12.73167133331299</v>
      </c>
      <c r="AA566">
        <f t="shared" si="33"/>
        <v>-5.470414802030639E-2</v>
      </c>
      <c r="AB566">
        <f t="shared" si="34"/>
        <v>-0.78534574775133992</v>
      </c>
      <c r="AC566" s="13">
        <f t="shared" si="35"/>
        <v>1.6883867489737716</v>
      </c>
      <c r="AD566" s="13"/>
      <c r="AE566" s="13"/>
      <c r="AF566" s="13"/>
    </row>
    <row r="567" spans="1:32">
      <c r="A567" s="1" t="s">
        <v>1163</v>
      </c>
      <c r="B567">
        <v>128.21994913432692</v>
      </c>
      <c r="C567">
        <v>30.16796899452558</v>
      </c>
      <c r="D567">
        <v>0</v>
      </c>
      <c r="E567">
        <v>4589.6622666666663</v>
      </c>
      <c r="F567">
        <v>4589.6622666666663</v>
      </c>
      <c r="G567">
        <v>0.50053248136315232</v>
      </c>
      <c r="H567">
        <v>0.10231160449689469</v>
      </c>
      <c r="I567">
        <v>7.2391205045122156E-2</v>
      </c>
      <c r="J567">
        <v>5.5733072894694161E-2</v>
      </c>
      <c r="K567">
        <v>1</v>
      </c>
      <c r="L567">
        <f t="shared" si="32"/>
        <v>3.6617807288663453</v>
      </c>
      <c r="M567" t="s">
        <v>605</v>
      </c>
      <c r="N567">
        <v>323</v>
      </c>
      <c r="O567">
        <v>7</v>
      </c>
      <c r="P567">
        <v>972</v>
      </c>
      <c r="Q567">
        <v>180.83229354764501</v>
      </c>
      <c r="R567">
        <v>228.235391426723</v>
      </c>
      <c r="S567" t="s">
        <v>1164</v>
      </c>
      <c r="T567">
        <v>0</v>
      </c>
      <c r="U567">
        <v>0</v>
      </c>
      <c r="V567">
        <v>0</v>
      </c>
      <c r="W567">
        <v>5226.424</v>
      </c>
      <c r="X567">
        <v>4.3669513117711799E-2</v>
      </c>
      <c r="Y567">
        <v>11.79800224304199</v>
      </c>
      <c r="Z567">
        <v>12.80647087097168</v>
      </c>
      <c r="AA567">
        <f t="shared" si="33"/>
        <v>-5.2410798889784775E-2</v>
      </c>
      <c r="AB567">
        <f t="shared" si="34"/>
        <v>-0.78325508676168609</v>
      </c>
      <c r="AC567" s="13">
        <f t="shared" si="35"/>
        <v>-0.27846663900875801</v>
      </c>
      <c r="AD567" s="13"/>
      <c r="AE567" s="13"/>
      <c r="AF567" s="13"/>
    </row>
    <row r="568" spans="1:32">
      <c r="A568" s="1" t="s">
        <v>1165</v>
      </c>
      <c r="B568">
        <v>171.73562879530448</v>
      </c>
      <c r="C568">
        <v>36.125004376742218</v>
      </c>
      <c r="D568">
        <v>481.23477433333329</v>
      </c>
      <c r="E568">
        <v>5225.1838666666663</v>
      </c>
      <c r="F568">
        <v>4743.9490923333333</v>
      </c>
      <c r="G568">
        <v>0.46730975348338694</v>
      </c>
      <c r="H568">
        <v>1.1048972604156211</v>
      </c>
      <c r="I568">
        <v>7.2133685887465535E-2</v>
      </c>
      <c r="J568">
        <v>3.7662490976077267E-2</v>
      </c>
      <c r="K568">
        <v>2.2460933604706172E-8</v>
      </c>
      <c r="L568">
        <f t="shared" si="32"/>
        <v>3.6761400199351804</v>
      </c>
      <c r="M568" t="s">
        <v>605</v>
      </c>
      <c r="N568">
        <v>321</v>
      </c>
      <c r="O568">
        <v>29</v>
      </c>
      <c r="P568">
        <v>966</v>
      </c>
      <c r="Q568">
        <v>753.81554133703401</v>
      </c>
      <c r="R568">
        <v>951.41958200776196</v>
      </c>
      <c r="S568" t="s">
        <v>1166</v>
      </c>
      <c r="T568">
        <v>0</v>
      </c>
      <c r="U568">
        <v>0</v>
      </c>
      <c r="V568">
        <v>0</v>
      </c>
      <c r="W568">
        <v>5758.1646000000001</v>
      </c>
      <c r="X568">
        <v>0.16522966050810001</v>
      </c>
      <c r="Y568">
        <v>9.2979135513305664</v>
      </c>
      <c r="Z568">
        <v>12.394880294799799</v>
      </c>
      <c r="AA568">
        <f t="shared" si="33"/>
        <v>-4.2230712045012143E-2</v>
      </c>
      <c r="AB568">
        <f t="shared" si="34"/>
        <v>-0.68002443057930761</v>
      </c>
      <c r="AC568" s="13">
        <f t="shared" si="35"/>
        <v>0.27746202594595731</v>
      </c>
      <c r="AD568" s="13"/>
      <c r="AE568" s="13"/>
      <c r="AF568" s="13"/>
    </row>
    <row r="569" spans="1:32">
      <c r="A569" s="1" t="s">
        <v>1167</v>
      </c>
      <c r="B569">
        <v>130.04498374468207</v>
      </c>
      <c r="C569">
        <v>17.198873292063915</v>
      </c>
      <c r="D569">
        <v>308.2187136666667</v>
      </c>
      <c r="E569">
        <v>5151.0910666666668</v>
      </c>
      <c r="F569">
        <v>4842.8723529999997</v>
      </c>
      <c r="G569">
        <v>0.53044375644994834</v>
      </c>
      <c r="H569">
        <v>0.33866552924378235</v>
      </c>
      <c r="I569">
        <v>9.8311099514507561E-2</v>
      </c>
      <c r="J569">
        <v>5.6115965511736636E-2</v>
      </c>
      <c r="K569">
        <v>1</v>
      </c>
      <c r="L569">
        <f t="shared" si="32"/>
        <v>3.6851030221916328</v>
      </c>
      <c r="M569" t="s">
        <v>605</v>
      </c>
      <c r="N569">
        <v>333</v>
      </c>
      <c r="O569">
        <v>0</v>
      </c>
      <c r="P569">
        <v>1002</v>
      </c>
      <c r="Q569">
        <v>0</v>
      </c>
      <c r="R569">
        <v>0</v>
      </c>
      <c r="S569" t="s">
        <v>1168</v>
      </c>
      <c r="T569">
        <v>0</v>
      </c>
      <c r="U569">
        <v>0</v>
      </c>
      <c r="W569">
        <v>5201.9823999999999</v>
      </c>
      <c r="X569">
        <v>0</v>
      </c>
      <c r="Y569">
        <v>13.503043174743651</v>
      </c>
      <c r="Z569">
        <v>10.92403984069824</v>
      </c>
      <c r="AA569">
        <f t="shared" si="33"/>
        <v>-3.5703600088412259E-2</v>
      </c>
      <c r="AB569">
        <f t="shared" si="34"/>
        <v>-0.75891904066042459</v>
      </c>
      <c r="AC569" s="13">
        <f t="shared" si="35"/>
        <v>-0.45391654251028785</v>
      </c>
      <c r="AD569" s="13"/>
      <c r="AE569" s="13"/>
      <c r="AF569" s="13"/>
    </row>
    <row r="570" spans="1:32">
      <c r="A570" s="1" t="s">
        <v>1169</v>
      </c>
      <c r="B570">
        <v>133.1523009131835</v>
      </c>
      <c r="C570">
        <v>53.739323579709783</v>
      </c>
      <c r="D570">
        <v>0</v>
      </c>
      <c r="E570">
        <v>4938.9362666666666</v>
      </c>
      <c r="F570">
        <v>4938.9362666666666</v>
      </c>
      <c r="G570">
        <v>0.45913978494623653</v>
      </c>
      <c r="H570">
        <v>0.52689406890652213</v>
      </c>
      <c r="I570">
        <v>7.9718377012443206E-2</v>
      </c>
      <c r="J570">
        <v>4.8477563723818215E-2</v>
      </c>
      <c r="K570">
        <v>1</v>
      </c>
      <c r="L570">
        <f t="shared" si="32"/>
        <v>3.6936334219474221</v>
      </c>
      <c r="M570" t="s">
        <v>605</v>
      </c>
      <c r="N570">
        <v>320</v>
      </c>
      <c r="O570">
        <v>5</v>
      </c>
      <c r="P570">
        <v>963</v>
      </c>
      <c r="Q570">
        <v>130.373082130478</v>
      </c>
      <c r="R570">
        <v>164.54888033435299</v>
      </c>
      <c r="S570" t="s">
        <v>1170</v>
      </c>
      <c r="T570">
        <v>0</v>
      </c>
      <c r="U570">
        <v>0</v>
      </c>
      <c r="V570">
        <v>0</v>
      </c>
      <c r="W570">
        <v>4299.4434000000001</v>
      </c>
      <c r="X570">
        <v>3.8272135489527202E-2</v>
      </c>
      <c r="Y570">
        <v>10.10452079772949</v>
      </c>
      <c r="Z570">
        <v>12.72363758087158</v>
      </c>
      <c r="AA570">
        <f t="shared" si="33"/>
        <v>-2.9365152333396396E-2</v>
      </c>
      <c r="AB570">
        <f t="shared" si="34"/>
        <v>-0.73953819719141467</v>
      </c>
      <c r="AC570" s="13">
        <f t="shared" si="35"/>
        <v>-0.3274239552061145</v>
      </c>
      <c r="AD570" s="13"/>
      <c r="AE570" s="13"/>
      <c r="AF570" s="13"/>
    </row>
    <row r="571" spans="1:32">
      <c r="A571" s="1" t="s">
        <v>1171</v>
      </c>
      <c r="B571">
        <v>180.62539031849664</v>
      </c>
      <c r="C571">
        <v>56.42795424501081</v>
      </c>
      <c r="D571">
        <v>35.793531533333329</v>
      </c>
      <c r="E571">
        <v>5125.2906666666668</v>
      </c>
      <c r="F571">
        <v>5089.4971351333334</v>
      </c>
      <c r="G571">
        <v>0.3769968051118211</v>
      </c>
      <c r="H571">
        <v>0.50041719015129926</v>
      </c>
      <c r="I571">
        <v>1.759460794632141</v>
      </c>
      <c r="J571">
        <v>0.88728957669794062</v>
      </c>
      <c r="K571">
        <v>1</v>
      </c>
      <c r="L571">
        <f t="shared" si="32"/>
        <v>3.7066748742374656</v>
      </c>
      <c r="M571" t="s">
        <v>605</v>
      </c>
      <c r="N571">
        <v>323</v>
      </c>
      <c r="O571">
        <v>0</v>
      </c>
      <c r="P571">
        <v>972</v>
      </c>
      <c r="Q571">
        <v>0</v>
      </c>
      <c r="R571">
        <v>0</v>
      </c>
      <c r="S571" t="s">
        <v>1172</v>
      </c>
      <c r="T571">
        <v>0</v>
      </c>
      <c r="U571">
        <v>0</v>
      </c>
      <c r="W571">
        <v>4728.8037000000004</v>
      </c>
      <c r="X571">
        <v>0</v>
      </c>
      <c r="Y571">
        <v>13.310812950134279</v>
      </c>
      <c r="Z571">
        <v>11.82940101623535</v>
      </c>
      <c r="AA571">
        <f t="shared" si="33"/>
        <v>-1.9430909990978469E-2</v>
      </c>
      <c r="AB571">
        <f t="shared" si="34"/>
        <v>-0.7422643738042829</v>
      </c>
      <c r="AC571" s="13">
        <f t="shared" si="35"/>
        <v>-0.45391654251028785</v>
      </c>
      <c r="AD571" s="13"/>
      <c r="AE571" s="13"/>
      <c r="AF571" s="13"/>
    </row>
    <row r="572" spans="1:32">
      <c r="A572" s="1" t="s">
        <v>1173</v>
      </c>
      <c r="B572">
        <v>125.69588776701495</v>
      </c>
      <c r="C572">
        <v>14.286492707761651</v>
      </c>
      <c r="D572">
        <v>72.126346666666663</v>
      </c>
      <c r="E572">
        <v>5296.3674666666666</v>
      </c>
      <c r="F572">
        <v>5224.2411199999997</v>
      </c>
      <c r="G572">
        <v>0.53002070393374745</v>
      </c>
      <c r="H572">
        <v>0.1528000017953256</v>
      </c>
      <c r="I572">
        <v>16.337672260675777</v>
      </c>
      <c r="J572">
        <v>5.7788119325698029</v>
      </c>
      <c r="K572">
        <v>1</v>
      </c>
      <c r="L572">
        <f t="shared" si="32"/>
        <v>3.7180232131883191</v>
      </c>
      <c r="M572" t="s">
        <v>605</v>
      </c>
      <c r="N572">
        <v>332</v>
      </c>
      <c r="O572">
        <v>0</v>
      </c>
      <c r="P572">
        <v>999</v>
      </c>
      <c r="Q572">
        <v>0</v>
      </c>
      <c r="R572">
        <v>0</v>
      </c>
      <c r="S572" t="s">
        <v>1174</v>
      </c>
      <c r="T572">
        <v>0</v>
      </c>
      <c r="U572">
        <v>0</v>
      </c>
      <c r="W572">
        <v>5044.4440000000004</v>
      </c>
      <c r="X572">
        <v>0</v>
      </c>
      <c r="Y572">
        <v>9.7658672332763672</v>
      </c>
      <c r="Z572">
        <v>12.683375358581539</v>
      </c>
      <c r="AA572">
        <f t="shared" si="33"/>
        <v>-1.0540290446332907E-2</v>
      </c>
      <c r="AB572">
        <f t="shared" si="34"/>
        <v>-0.77805657793409111</v>
      </c>
      <c r="AC572" s="13">
        <f t="shared" si="35"/>
        <v>-0.45391654251028785</v>
      </c>
      <c r="AD572" s="13"/>
      <c r="AE572" s="13"/>
      <c r="AF572" s="13"/>
    </row>
    <row r="573" spans="1:32">
      <c r="A573" s="1" t="s">
        <v>1175</v>
      </c>
      <c r="B573">
        <v>110.7838713454916</v>
      </c>
      <c r="C573">
        <v>15.704490322142414</v>
      </c>
      <c r="D573">
        <v>7.5920257000000007</v>
      </c>
      <c r="E573">
        <v>5433.4553333333333</v>
      </c>
      <c r="F573">
        <v>5425.8633076333326</v>
      </c>
      <c r="G573">
        <v>0.52750809061488668</v>
      </c>
      <c r="H573">
        <v>6.6221375552007244E-2</v>
      </c>
      <c r="I573">
        <v>28.024583156501375</v>
      </c>
      <c r="J573">
        <v>20.990549688238509</v>
      </c>
      <c r="K573">
        <v>1</v>
      </c>
      <c r="L573">
        <f t="shared" si="32"/>
        <v>3.73446884849518</v>
      </c>
      <c r="M573" t="s">
        <v>605</v>
      </c>
      <c r="N573">
        <v>319</v>
      </c>
      <c r="O573">
        <v>17</v>
      </c>
      <c r="P573">
        <v>960</v>
      </c>
      <c r="Q573">
        <v>444.653693241263</v>
      </c>
      <c r="R573">
        <v>561.21452499035399</v>
      </c>
      <c r="S573" t="s">
        <v>1176</v>
      </c>
      <c r="T573">
        <v>0</v>
      </c>
      <c r="U573">
        <v>0</v>
      </c>
      <c r="V573">
        <v>0</v>
      </c>
      <c r="W573">
        <v>5570.4766</v>
      </c>
      <c r="X573">
        <v>0.100748026657244</v>
      </c>
      <c r="Y573">
        <v>12.54580497741699</v>
      </c>
      <c r="Z573">
        <v>11.254605293273929</v>
      </c>
      <c r="AA573">
        <f t="shared" si="33"/>
        <v>2.7630578536367617E-3</v>
      </c>
      <c r="AB573">
        <f t="shared" si="34"/>
        <v>-0.78697109645498164</v>
      </c>
      <c r="AC573" s="13">
        <f t="shared" si="35"/>
        <v>-2.2497761935990176E-2</v>
      </c>
      <c r="AD573" s="13"/>
      <c r="AE573" s="13"/>
      <c r="AF573" s="13"/>
    </row>
    <row r="574" spans="1:32">
      <c r="A574" s="1" t="s">
        <v>1177</v>
      </c>
      <c r="B574">
        <v>114.96258559517673</v>
      </c>
      <c r="C574">
        <v>18.033519710446356</v>
      </c>
      <c r="D574">
        <v>0</v>
      </c>
      <c r="E574">
        <v>5482.9244666666664</v>
      </c>
      <c r="F574">
        <v>5482.9244666666664</v>
      </c>
      <c r="G574">
        <v>0.4512325830653805</v>
      </c>
      <c r="H574">
        <v>6.0462021507802249E-2</v>
      </c>
      <c r="I574">
        <v>3.9672112542735776</v>
      </c>
      <c r="J574">
        <v>2.5361002772613674</v>
      </c>
      <c r="K574">
        <v>1</v>
      </c>
      <c r="L574">
        <f t="shared" si="32"/>
        <v>3.7390122630390858</v>
      </c>
      <c r="M574" t="s">
        <v>605</v>
      </c>
      <c r="N574">
        <v>321</v>
      </c>
      <c r="O574">
        <v>817</v>
      </c>
      <c r="P574">
        <v>966</v>
      </c>
      <c r="Q574">
        <v>21236.803354219199</v>
      </c>
      <c r="R574">
        <v>26803.7861551842</v>
      </c>
      <c r="S574" t="s">
        <v>1178</v>
      </c>
      <c r="T574">
        <v>1</v>
      </c>
      <c r="U574">
        <v>122.44398187829</v>
      </c>
      <c r="V574">
        <v>5.9685821031859E-3</v>
      </c>
      <c r="W574">
        <v>4924.4759999999997</v>
      </c>
      <c r="X574">
        <v>5.4429722380988697</v>
      </c>
      <c r="Y574">
        <v>12.34212017059326</v>
      </c>
      <c r="Z574">
        <v>11.82087230682373</v>
      </c>
      <c r="AA574">
        <f t="shared" si="33"/>
        <v>6.5280426597777181E-3</v>
      </c>
      <c r="AB574">
        <f t="shared" si="34"/>
        <v>-0.78756410503600416</v>
      </c>
      <c r="AC574" s="13">
        <f t="shared" si="35"/>
        <v>20.15078312744669</v>
      </c>
      <c r="AD574" s="13"/>
      <c r="AE574" s="13"/>
      <c r="AF574" s="13"/>
    </row>
    <row r="575" spans="1:32">
      <c r="A575" s="1" t="s">
        <v>1179</v>
      </c>
      <c r="B575">
        <v>115.79625830837445</v>
      </c>
      <c r="C575">
        <v>20.304597033244665</v>
      </c>
      <c r="D575">
        <v>0</v>
      </c>
      <c r="E575">
        <v>5651.7208666666666</v>
      </c>
      <c r="F575">
        <v>5651.7208666666666</v>
      </c>
      <c r="G575">
        <v>0.50155763239875384</v>
      </c>
      <c r="H575">
        <v>0.12034765961948583</v>
      </c>
      <c r="I575">
        <v>9.486474345399154E-2</v>
      </c>
      <c r="J575">
        <v>2.4052435443969896E-2</v>
      </c>
      <c r="K575">
        <v>1</v>
      </c>
      <c r="L575">
        <f t="shared" si="32"/>
        <v>3.7521807042982558</v>
      </c>
      <c r="M575" t="s">
        <v>605</v>
      </c>
      <c r="N575">
        <v>331</v>
      </c>
      <c r="O575">
        <v>18</v>
      </c>
      <c r="P575">
        <v>996</v>
      </c>
      <c r="Q575">
        <v>453.79257141560601</v>
      </c>
      <c r="R575">
        <v>572.74905456138197</v>
      </c>
      <c r="S575" t="s">
        <v>1180</v>
      </c>
      <c r="T575">
        <v>0</v>
      </c>
      <c r="U575">
        <v>0</v>
      </c>
      <c r="V575">
        <v>0</v>
      </c>
      <c r="W575">
        <v>6285.6260000000002</v>
      </c>
      <c r="X575">
        <v>9.1120447599233906E-2</v>
      </c>
      <c r="Y575">
        <v>12.10344982147217</v>
      </c>
      <c r="Z575">
        <v>12.509482383728029</v>
      </c>
      <c r="AA575">
        <f t="shared" si="33"/>
        <v>1.766549398564439E-2</v>
      </c>
      <c r="AB575">
        <f t="shared" si="34"/>
        <v>-0.78139801470579229</v>
      </c>
      <c r="AC575" s="13">
        <f t="shared" si="35"/>
        <v>-1.3630898267204955E-2</v>
      </c>
      <c r="AD575" s="13"/>
      <c r="AE575" s="13"/>
      <c r="AF575" s="13"/>
    </row>
    <row r="576" spans="1:32">
      <c r="A576" s="1" t="s">
        <v>1181</v>
      </c>
      <c r="B576">
        <v>128.80048325766609</v>
      </c>
      <c r="C576">
        <v>15.959013390511751</v>
      </c>
      <c r="D576">
        <v>0</v>
      </c>
      <c r="E576">
        <v>5917.585766666667</v>
      </c>
      <c r="F576">
        <v>5917.585766666667</v>
      </c>
      <c r="G576">
        <v>0.44270833333333337</v>
      </c>
      <c r="H576">
        <v>0.19324607284094866</v>
      </c>
      <c r="I576">
        <v>11.693483428857098</v>
      </c>
      <c r="J576">
        <v>5.9508880757212008</v>
      </c>
      <c r="K576">
        <v>1</v>
      </c>
      <c r="L576">
        <f t="shared" si="32"/>
        <v>3.7721445611038895</v>
      </c>
      <c r="M576" t="s">
        <v>605</v>
      </c>
      <c r="N576">
        <v>330</v>
      </c>
      <c r="O576">
        <v>5</v>
      </c>
      <c r="P576">
        <v>993</v>
      </c>
      <c r="Q576">
        <v>126.43431831989</v>
      </c>
      <c r="R576">
        <v>159.57761506745399</v>
      </c>
      <c r="S576" t="s">
        <v>1182</v>
      </c>
      <c r="T576">
        <v>1</v>
      </c>
      <c r="U576">
        <v>122.44398187829</v>
      </c>
      <c r="V576">
        <v>0.97526631566058497</v>
      </c>
      <c r="W576">
        <v>5581.8549999999996</v>
      </c>
      <c r="X576">
        <v>2.8588634973042901E-2</v>
      </c>
      <c r="Y576">
        <v>12.751857757568359</v>
      </c>
      <c r="Z576">
        <v>11.232339859008791</v>
      </c>
      <c r="AA576">
        <f t="shared" si="33"/>
        <v>3.5207677249069508E-2</v>
      </c>
      <c r="AB576">
        <f t="shared" si="34"/>
        <v>-0.77389207146086336</v>
      </c>
      <c r="AC576" s="13">
        <f t="shared" si="35"/>
        <v>-0.33124548352346067</v>
      </c>
      <c r="AD576" s="13"/>
      <c r="AE576" s="13"/>
      <c r="AF576" s="13"/>
    </row>
    <row r="577" spans="1:32">
      <c r="A577" s="1" t="s">
        <v>1183</v>
      </c>
      <c r="B577">
        <v>246.70108643680246</v>
      </c>
      <c r="C577">
        <v>87.181429272780207</v>
      </c>
      <c r="D577">
        <v>333.68768</v>
      </c>
      <c r="E577">
        <v>6456.4281999999994</v>
      </c>
      <c r="F577">
        <v>6122.7405200000003</v>
      </c>
      <c r="G577">
        <v>0.49663784822286261</v>
      </c>
      <c r="H577">
        <v>2.9819997514325571</v>
      </c>
      <c r="I577">
        <v>7.2187802828444003E-2</v>
      </c>
      <c r="J577">
        <v>4.0488787336522503E-2</v>
      </c>
      <c r="K577">
        <v>0</v>
      </c>
      <c r="L577">
        <f t="shared" si="32"/>
        <v>3.7869458545492343</v>
      </c>
      <c r="M577" t="s">
        <v>605</v>
      </c>
      <c r="N577">
        <v>357</v>
      </c>
      <c r="O577">
        <v>8</v>
      </c>
      <c r="P577">
        <v>1074</v>
      </c>
      <c r="Q577">
        <v>187.038030676575</v>
      </c>
      <c r="R577">
        <v>236.06789089308299</v>
      </c>
      <c r="S577" t="s">
        <v>1184</v>
      </c>
      <c r="T577">
        <v>0</v>
      </c>
      <c r="U577">
        <v>0</v>
      </c>
      <c r="V577">
        <v>0</v>
      </c>
      <c r="W577">
        <v>8385.6200000000008</v>
      </c>
      <c r="X577">
        <v>2.8151513053666099E-2</v>
      </c>
      <c r="Y577">
        <v>9.6302013397216797</v>
      </c>
      <c r="Z577">
        <v>11.74170017242432</v>
      </c>
      <c r="AA577">
        <f t="shared" si="33"/>
        <v>4.874410977677851E-2</v>
      </c>
      <c r="AB577">
        <f t="shared" si="34"/>
        <v>-0.48674965078835891</v>
      </c>
      <c r="AC577" s="13">
        <f t="shared" si="35"/>
        <v>-0.27244561279122709</v>
      </c>
      <c r="AD577" s="13"/>
      <c r="AE577" s="13"/>
      <c r="AF577" s="13"/>
    </row>
    <row r="578" spans="1:32">
      <c r="A578" s="1" t="s">
        <v>1185</v>
      </c>
      <c r="B578">
        <v>123.31600883854018</v>
      </c>
      <c r="C578">
        <v>24.043868386013706</v>
      </c>
      <c r="D578">
        <v>0</v>
      </c>
      <c r="E578">
        <v>6424.4161333333332</v>
      </c>
      <c r="F578">
        <v>6424.4161333333332</v>
      </c>
      <c r="G578">
        <v>0.37743589743589745</v>
      </c>
      <c r="H578">
        <v>0.13617597300780518</v>
      </c>
      <c r="I578">
        <v>7.7441276429172839E-2</v>
      </c>
      <c r="J578">
        <v>5.3306280888410794E-2</v>
      </c>
      <c r="K578">
        <v>1</v>
      </c>
      <c r="L578">
        <f t="shared" ref="L578:L641" si="36">LOG10(F578)</f>
        <v>3.8078336640510075</v>
      </c>
      <c r="M578" t="s">
        <v>605</v>
      </c>
      <c r="N578">
        <v>335</v>
      </c>
      <c r="O578">
        <v>63</v>
      </c>
      <c r="P578">
        <v>1008</v>
      </c>
      <c r="Q578">
        <v>1569.3659761456299</v>
      </c>
      <c r="R578">
        <v>1980.7571470247799</v>
      </c>
      <c r="S578" t="s">
        <v>1186</v>
      </c>
      <c r="T578">
        <v>2</v>
      </c>
      <c r="U578">
        <v>244.887963756581</v>
      </c>
      <c r="V578">
        <v>0.154804177088981</v>
      </c>
      <c r="W578">
        <v>6810.2763999999997</v>
      </c>
      <c r="X578">
        <v>0.29084827555967901</v>
      </c>
      <c r="Y578">
        <v>9.8330345153808594</v>
      </c>
      <c r="Z578">
        <v>12.66740131378174</v>
      </c>
      <c r="AA578">
        <f t="shared" ref="AA578:AA641" si="37">(F578-AVERAGE(F:F))/_xlfn.STDEV.P(F:F)</f>
        <v>6.8649140095558808E-2</v>
      </c>
      <c r="AB578">
        <f t="shared" ref="AB578:AB641" si="38">(H578-AVERAGE(H:H))/_xlfn.STDEV.P(H:H)</f>
        <v>-0.77976826150945389</v>
      </c>
      <c r="AC578" s="13">
        <f t="shared" ref="AC578:AC641" si="39">(Q578-AVERAGE(Q:Q))/_xlfn.STDEV.P(Q:Q)</f>
        <v>1.0687379771637</v>
      </c>
      <c r="AD578" s="13"/>
      <c r="AE578" s="13"/>
      <c r="AF578" s="13"/>
    </row>
    <row r="579" spans="1:32">
      <c r="A579" s="1" t="s">
        <v>1187</v>
      </c>
      <c r="B579">
        <v>111.74359128054236</v>
      </c>
      <c r="C579">
        <v>19.205551992437897</v>
      </c>
      <c r="D579">
        <v>0</v>
      </c>
      <c r="E579">
        <v>6467.0404333333327</v>
      </c>
      <c r="F579">
        <v>6467.0404333333327</v>
      </c>
      <c r="G579">
        <v>0.52321981424148611</v>
      </c>
      <c r="H579">
        <v>8.5877641727936424E-2</v>
      </c>
      <c r="I579">
        <v>3.5241449131310199</v>
      </c>
      <c r="J579">
        <v>3.2415185355810965</v>
      </c>
      <c r="K579">
        <v>1</v>
      </c>
      <c r="L579">
        <f t="shared" si="36"/>
        <v>3.8107055762584912</v>
      </c>
      <c r="M579" t="s">
        <v>605</v>
      </c>
      <c r="N579">
        <v>333</v>
      </c>
      <c r="O579">
        <v>21</v>
      </c>
      <c r="P579">
        <v>1002</v>
      </c>
      <c r="Q579">
        <v>526.2544590668</v>
      </c>
      <c r="R579">
        <v>664.20598942148297</v>
      </c>
      <c r="S579" t="s">
        <v>1188</v>
      </c>
      <c r="T579">
        <v>0</v>
      </c>
      <c r="U579">
        <v>0</v>
      </c>
      <c r="V579">
        <v>0</v>
      </c>
      <c r="W579">
        <v>6450.8622999999998</v>
      </c>
      <c r="X579">
        <v>0.10296390754170701</v>
      </c>
      <c r="Y579">
        <v>11.657758712768549</v>
      </c>
      <c r="Z579">
        <v>11.31071949005127</v>
      </c>
      <c r="AA579">
        <f t="shared" si="37"/>
        <v>7.1461558290195265E-2</v>
      </c>
      <c r="AB579">
        <f t="shared" si="38"/>
        <v>-0.78494720029862053</v>
      </c>
      <c r="AC579" s="13">
        <f t="shared" si="39"/>
        <v>5.6674194625901536E-2</v>
      </c>
      <c r="AD579" s="13"/>
      <c r="AE579" s="13"/>
      <c r="AF579" s="13"/>
    </row>
    <row r="580" spans="1:32">
      <c r="A580" s="1" t="s">
        <v>1189</v>
      </c>
      <c r="B580">
        <v>129.1445244273373</v>
      </c>
      <c r="C580">
        <v>33.674898251206322</v>
      </c>
      <c r="D580">
        <v>51.811021000000004</v>
      </c>
      <c r="E580">
        <v>6523.0637999999999</v>
      </c>
      <c r="F580">
        <v>6471.2527789999995</v>
      </c>
      <c r="G580">
        <v>0.50106837606837606</v>
      </c>
      <c r="H580">
        <v>0.23171244680432015</v>
      </c>
      <c r="I580">
        <v>9.1109633833092965E-2</v>
      </c>
      <c r="J580">
        <v>2.6913398495714454E-2</v>
      </c>
      <c r="K580">
        <v>1</v>
      </c>
      <c r="L580">
        <f t="shared" si="36"/>
        <v>3.8109883644923821</v>
      </c>
      <c r="M580" t="s">
        <v>605</v>
      </c>
      <c r="N580">
        <v>322</v>
      </c>
      <c r="O580">
        <v>13</v>
      </c>
      <c r="P580">
        <v>969</v>
      </c>
      <c r="Q580">
        <v>336.871128006493</v>
      </c>
      <c r="R580">
        <v>425.17800472771302</v>
      </c>
      <c r="S580" t="s">
        <v>1190</v>
      </c>
      <c r="T580">
        <v>0</v>
      </c>
      <c r="U580">
        <v>0</v>
      </c>
      <c r="V580">
        <v>0</v>
      </c>
      <c r="W580">
        <v>5897.7954</v>
      </c>
      <c r="X580">
        <v>7.20910061966058E-2</v>
      </c>
      <c r="AA580">
        <f t="shared" si="37"/>
        <v>7.1739495466759617E-2</v>
      </c>
      <c r="AB580">
        <f t="shared" si="38"/>
        <v>-0.76993140336058341</v>
      </c>
      <c r="AC580" s="13">
        <f t="shared" si="39"/>
        <v>-0.12707222868965823</v>
      </c>
      <c r="AD580" s="13"/>
      <c r="AE580" s="13"/>
      <c r="AF580" s="13"/>
    </row>
    <row r="581" spans="1:32">
      <c r="A581" s="1" t="s">
        <v>1191</v>
      </c>
      <c r="B581">
        <v>166.22684662886698</v>
      </c>
      <c r="C581">
        <v>48.526211765941888</v>
      </c>
      <c r="D581">
        <v>0</v>
      </c>
      <c r="E581">
        <v>6587.6452333333327</v>
      </c>
      <c r="F581">
        <v>6587.6452333333327</v>
      </c>
      <c r="G581">
        <v>0.40021574973031282</v>
      </c>
      <c r="H581">
        <v>0.5815099760533341</v>
      </c>
      <c r="I581">
        <v>9.3088377964998692E-2</v>
      </c>
      <c r="J581">
        <v>3.1973782226359382E-2</v>
      </c>
      <c r="K581">
        <v>1</v>
      </c>
      <c r="L581">
        <f t="shared" si="36"/>
        <v>3.8187302029211683</v>
      </c>
      <c r="M581" t="s">
        <v>605</v>
      </c>
      <c r="N581">
        <v>319</v>
      </c>
      <c r="O581">
        <v>0</v>
      </c>
      <c r="P581">
        <v>960</v>
      </c>
      <c r="Q581">
        <v>0</v>
      </c>
      <c r="R581">
        <v>0</v>
      </c>
      <c r="S581" t="s">
        <v>1192</v>
      </c>
      <c r="T581">
        <v>0</v>
      </c>
      <c r="U581">
        <v>0</v>
      </c>
      <c r="W581">
        <v>6794.9224000000004</v>
      </c>
      <c r="X581">
        <v>0</v>
      </c>
      <c r="Y581">
        <v>10.46168327331543</v>
      </c>
      <c r="Z581">
        <v>11.630106925964361</v>
      </c>
      <c r="AA581">
        <f t="shared" si="37"/>
        <v>7.9419252231925558E-2</v>
      </c>
      <c r="AB581">
        <f t="shared" si="38"/>
        <v>-0.73391470168309836</v>
      </c>
      <c r="AC581" s="13">
        <f t="shared" si="39"/>
        <v>-0.45391654251028785</v>
      </c>
      <c r="AD581" s="13"/>
      <c r="AE581" s="13"/>
      <c r="AF581" s="13"/>
    </row>
    <row r="582" spans="1:32">
      <c r="A582" s="1" t="s">
        <v>1193</v>
      </c>
      <c r="B582">
        <v>116.40274746746985</v>
      </c>
      <c r="C582">
        <v>18.923958167910328</v>
      </c>
      <c r="D582">
        <v>235.44401333333334</v>
      </c>
      <c r="E582">
        <v>6837.8589999999995</v>
      </c>
      <c r="F582">
        <v>6602.4149866666667</v>
      </c>
      <c r="G582">
        <v>0.37956989247311829</v>
      </c>
      <c r="H582">
        <v>6.683168131333847E-2</v>
      </c>
      <c r="I582">
        <v>1.8151028535696294</v>
      </c>
      <c r="J582">
        <v>1.5617725429082518</v>
      </c>
      <c r="K582">
        <v>1</v>
      </c>
      <c r="L582">
        <f t="shared" si="36"/>
        <v>3.8197028178972499</v>
      </c>
      <c r="M582" t="s">
        <v>605</v>
      </c>
      <c r="N582">
        <v>320</v>
      </c>
      <c r="O582">
        <v>1</v>
      </c>
      <c r="P582">
        <v>963</v>
      </c>
      <c r="Q582">
        <v>26.074616426095702</v>
      </c>
      <c r="R582">
        <v>32.909776066870698</v>
      </c>
      <c r="S582" t="s">
        <v>1194</v>
      </c>
      <c r="T582">
        <v>0</v>
      </c>
      <c r="U582">
        <v>0</v>
      </c>
      <c r="V582">
        <v>0</v>
      </c>
      <c r="W582">
        <v>6554.2529999999997</v>
      </c>
      <c r="X582">
        <v>5.0211330058315797E-3</v>
      </c>
      <c r="Y582">
        <v>11.17636299133301</v>
      </c>
      <c r="Z582">
        <v>13.31676578521729</v>
      </c>
      <c r="AA582">
        <f t="shared" si="37"/>
        <v>8.0393783731679477E-2</v>
      </c>
      <c r="AB582">
        <f t="shared" si="38"/>
        <v>-0.78690825667282216</v>
      </c>
      <c r="AC582" s="13">
        <f t="shared" si="39"/>
        <v>-0.42861802504945312</v>
      </c>
      <c r="AD582" s="13"/>
      <c r="AE582" s="13"/>
      <c r="AF582" s="13"/>
    </row>
    <row r="583" spans="1:32">
      <c r="A583" s="1" t="s">
        <v>1195</v>
      </c>
      <c r="B583">
        <v>121.77899135196969</v>
      </c>
      <c r="C583">
        <v>18.496874268509341</v>
      </c>
      <c r="D583">
        <v>1166.1683833333334</v>
      </c>
      <c r="E583">
        <v>7898.0896666666667</v>
      </c>
      <c r="F583">
        <v>6731.921283333334</v>
      </c>
      <c r="G583">
        <v>0.5</v>
      </c>
      <c r="H583">
        <v>6.8565724049463386E-2</v>
      </c>
      <c r="I583">
        <v>9.5591524674526411</v>
      </c>
      <c r="J583">
        <v>2.5521774043579271</v>
      </c>
      <c r="K583">
        <v>1</v>
      </c>
      <c r="L583">
        <f t="shared" si="36"/>
        <v>3.8281390291080291</v>
      </c>
      <c r="M583" t="s">
        <v>605</v>
      </c>
      <c r="N583">
        <v>326</v>
      </c>
      <c r="O583">
        <v>8</v>
      </c>
      <c r="P583">
        <v>981</v>
      </c>
      <c r="Q583">
        <v>204.769464777412</v>
      </c>
      <c r="R583">
        <v>258.44741571780997</v>
      </c>
      <c r="S583" t="s">
        <v>1196</v>
      </c>
      <c r="T583">
        <v>0</v>
      </c>
      <c r="U583">
        <v>0</v>
      </c>
      <c r="V583">
        <v>0</v>
      </c>
      <c r="W583">
        <v>7990.348</v>
      </c>
      <c r="X583">
        <v>3.2344951148286699E-2</v>
      </c>
      <c r="Y583">
        <v>12.227316856384279</v>
      </c>
      <c r="Z583">
        <v>13.393447875976561</v>
      </c>
      <c r="AA583">
        <f t="shared" si="37"/>
        <v>8.893881239057419E-2</v>
      </c>
      <c r="AB583">
        <f t="shared" si="38"/>
        <v>-0.78672971195852104</v>
      </c>
      <c r="AC583" s="13">
        <f t="shared" si="39"/>
        <v>-0.25524194667107181</v>
      </c>
      <c r="AD583" s="13"/>
      <c r="AE583" s="13"/>
      <c r="AF583" s="13"/>
    </row>
    <row r="584" spans="1:32">
      <c r="A584" s="1" t="s">
        <v>1197</v>
      </c>
      <c r="B584">
        <v>811.91426063205483</v>
      </c>
      <c r="C584">
        <v>182.47817968552317</v>
      </c>
      <c r="D584">
        <v>355.46668999999997</v>
      </c>
      <c r="E584">
        <v>7118.2534999999998</v>
      </c>
      <c r="F584">
        <v>6762.7868100000005</v>
      </c>
      <c r="G584">
        <v>0.43842887473460723</v>
      </c>
      <c r="H584">
        <v>12.202324474812242</v>
      </c>
      <c r="I584">
        <v>2.348759435473708</v>
      </c>
      <c r="J584">
        <v>0.51924871075991763</v>
      </c>
      <c r="K584">
        <v>0</v>
      </c>
      <c r="L584">
        <f t="shared" si="36"/>
        <v>3.8301256969477526</v>
      </c>
      <c r="M584" t="s">
        <v>605</v>
      </c>
      <c r="N584">
        <v>324</v>
      </c>
      <c r="O584">
        <v>6</v>
      </c>
      <c r="P584">
        <v>975</v>
      </c>
      <c r="Q584">
        <v>154.52218842049299</v>
      </c>
      <c r="R584">
        <v>195.02839601474699</v>
      </c>
      <c r="S584" t="s">
        <v>1198</v>
      </c>
      <c r="T584">
        <v>0</v>
      </c>
      <c r="U584">
        <v>0</v>
      </c>
      <c r="V584">
        <v>0</v>
      </c>
      <c r="W584">
        <v>6858.6464999999998</v>
      </c>
      <c r="X584">
        <v>2.8435405734170301E-2</v>
      </c>
      <c r="AA584">
        <f t="shared" si="37"/>
        <v>9.0975368270304086E-2</v>
      </c>
      <c r="AB584">
        <f t="shared" si="38"/>
        <v>0.46261578825423916</v>
      </c>
      <c r="AC584" s="13">
        <f t="shared" si="39"/>
        <v>-0.30399363595777196</v>
      </c>
      <c r="AD584" s="13"/>
      <c r="AE584" s="13"/>
      <c r="AF584" s="13"/>
    </row>
    <row r="585" spans="1:32">
      <c r="A585" s="1" t="s">
        <v>1199</v>
      </c>
      <c r="B585">
        <v>119.52830833106908</v>
      </c>
      <c r="C585">
        <v>23.825351515315035</v>
      </c>
      <c r="D585">
        <v>58.719396666666661</v>
      </c>
      <c r="E585">
        <v>6842.1111666666666</v>
      </c>
      <c r="F585">
        <v>6783.3917699999993</v>
      </c>
      <c r="G585">
        <v>0.42345276872964172</v>
      </c>
      <c r="H585">
        <v>7.6273576317755554E-2</v>
      </c>
      <c r="I585">
        <v>7.6329233006453015E-2</v>
      </c>
      <c r="J585">
        <v>5.5064657650328176E-2</v>
      </c>
      <c r="K585">
        <v>1</v>
      </c>
      <c r="L585">
        <f t="shared" si="36"/>
        <v>3.831446900160381</v>
      </c>
      <c r="M585" t="s">
        <v>605</v>
      </c>
      <c r="N585">
        <v>317</v>
      </c>
      <c r="O585">
        <v>39</v>
      </c>
      <c r="P585">
        <v>954</v>
      </c>
      <c r="Q585">
        <v>1026.50353156695</v>
      </c>
      <c r="R585">
        <v>1295.5895804438801</v>
      </c>
      <c r="S585" t="s">
        <v>1200</v>
      </c>
      <c r="T585">
        <v>0</v>
      </c>
      <c r="U585">
        <v>0</v>
      </c>
      <c r="V585">
        <v>0</v>
      </c>
      <c r="W585">
        <v>7537.3180000000002</v>
      </c>
      <c r="X585">
        <v>0.17188999859683199</v>
      </c>
      <c r="Y585">
        <v>10.091596603393549</v>
      </c>
      <c r="Z585">
        <v>11.748178482055661</v>
      </c>
      <c r="AA585">
        <f t="shared" si="37"/>
        <v>9.2334915861789532E-2</v>
      </c>
      <c r="AB585">
        <f t="shared" si="38"/>
        <v>-0.78593607737706117</v>
      </c>
      <c r="AC585" s="13">
        <f t="shared" si="39"/>
        <v>0.5420335835657768</v>
      </c>
      <c r="AD585" s="13"/>
      <c r="AE585" s="13"/>
      <c r="AF585" s="13"/>
    </row>
    <row r="586" spans="1:32">
      <c r="A586" s="1" t="s">
        <v>1201</v>
      </c>
      <c r="B586">
        <v>277.9143317993001</v>
      </c>
      <c r="C586">
        <v>116.04651714376685</v>
      </c>
      <c r="D586">
        <v>25086.942666666666</v>
      </c>
      <c r="E586">
        <v>31953.975999999995</v>
      </c>
      <c r="F586">
        <v>6867.0333333333338</v>
      </c>
      <c r="G586">
        <v>0.5149572649572649</v>
      </c>
      <c r="H586">
        <v>2.0575920956463545</v>
      </c>
      <c r="I586">
        <v>8.6295560661236559E-2</v>
      </c>
      <c r="J586">
        <v>4.4397047165359887E-2</v>
      </c>
      <c r="K586">
        <v>1.3802999290438168E-287</v>
      </c>
      <c r="L586">
        <f t="shared" si="36"/>
        <v>3.8367691555123931</v>
      </c>
      <c r="M586" t="s">
        <v>605</v>
      </c>
      <c r="N586">
        <v>322</v>
      </c>
      <c r="O586">
        <v>3</v>
      </c>
      <c r="P586">
        <v>969</v>
      </c>
      <c r="Q586">
        <v>77.739491078421594</v>
      </c>
      <c r="R586">
        <v>98.118001091010797</v>
      </c>
      <c r="S586" t="s">
        <v>1202</v>
      </c>
      <c r="T586">
        <v>0</v>
      </c>
      <c r="U586">
        <v>0</v>
      </c>
      <c r="V586">
        <v>0</v>
      </c>
      <c r="W586">
        <v>34016.605000000003</v>
      </c>
      <c r="X586">
        <v>2.8844148641820901E-3</v>
      </c>
      <c r="Y586">
        <v>12.6402645111084</v>
      </c>
      <c r="Z586">
        <v>12.2199649810791</v>
      </c>
      <c r="AA586">
        <f t="shared" si="37"/>
        <v>9.7853717450238145E-2</v>
      </c>
      <c r="AB586">
        <f t="shared" si="38"/>
        <v>-0.58193075409207484</v>
      </c>
      <c r="AC586" s="13">
        <f t="shared" si="39"/>
        <v>-0.37849093162860403</v>
      </c>
      <c r="AD586" s="13"/>
      <c r="AE586" s="13"/>
      <c r="AF586" s="13"/>
    </row>
    <row r="587" spans="1:32">
      <c r="A587" s="1" t="s">
        <v>1203</v>
      </c>
      <c r="B587">
        <v>117.1224066677354</v>
      </c>
      <c r="C587">
        <v>27.148563961942216</v>
      </c>
      <c r="D587">
        <v>1178.9293433333335</v>
      </c>
      <c r="E587">
        <v>8053.6503333333339</v>
      </c>
      <c r="F587">
        <v>6874.7209900000007</v>
      </c>
      <c r="G587">
        <v>0.50322580645161297</v>
      </c>
      <c r="H587">
        <v>0.12573339322760169</v>
      </c>
      <c r="I587">
        <v>8.3363823683619317E-2</v>
      </c>
      <c r="J587">
        <v>4.0143101973727842E-2</v>
      </c>
      <c r="K587">
        <v>1</v>
      </c>
      <c r="L587">
        <f t="shared" si="36"/>
        <v>3.8372550770532459</v>
      </c>
      <c r="M587" t="s">
        <v>605</v>
      </c>
      <c r="N587">
        <v>320</v>
      </c>
      <c r="O587">
        <v>5</v>
      </c>
      <c r="P587">
        <v>963</v>
      </c>
      <c r="Q587">
        <v>130.373082130478</v>
      </c>
      <c r="R587">
        <v>164.54888033435299</v>
      </c>
      <c r="S587" t="s">
        <v>1204</v>
      </c>
      <c r="T587">
        <v>0</v>
      </c>
      <c r="U587">
        <v>0</v>
      </c>
      <c r="V587">
        <v>0</v>
      </c>
      <c r="W587">
        <v>9766.3029999999999</v>
      </c>
      <c r="X587">
        <v>1.6848635592644701E-2</v>
      </c>
      <c r="Y587">
        <v>13.253748893737789</v>
      </c>
      <c r="Z587">
        <v>11.48104190826416</v>
      </c>
      <c r="AA587">
        <f t="shared" si="37"/>
        <v>9.836096109959902E-2</v>
      </c>
      <c r="AB587">
        <f t="shared" si="38"/>
        <v>-0.78084347573836632</v>
      </c>
      <c r="AC587" s="13">
        <f t="shared" si="39"/>
        <v>-0.3274239552061145</v>
      </c>
      <c r="AD587" s="13"/>
      <c r="AE587" s="13"/>
      <c r="AF587" s="13"/>
    </row>
    <row r="588" spans="1:32">
      <c r="A588" s="1" t="s">
        <v>1205</v>
      </c>
      <c r="B588">
        <v>192.43042095741103</v>
      </c>
      <c r="C588">
        <v>86.66878896684824</v>
      </c>
      <c r="D588">
        <v>35.231486666666669</v>
      </c>
      <c r="E588">
        <v>7008.5424333333349</v>
      </c>
      <c r="F588">
        <v>6973.3109466666674</v>
      </c>
      <c r="G588">
        <v>0.45966029723991508</v>
      </c>
      <c r="H588">
        <v>0.9201573514856709</v>
      </c>
      <c r="I588">
        <v>19.581084724330694</v>
      </c>
      <c r="J588">
        <v>9.5099909174916348</v>
      </c>
      <c r="K588">
        <v>1</v>
      </c>
      <c r="L588">
        <f t="shared" si="36"/>
        <v>3.8434390312468829</v>
      </c>
      <c r="M588" t="s">
        <v>605</v>
      </c>
      <c r="N588">
        <v>324</v>
      </c>
      <c r="O588">
        <v>6</v>
      </c>
      <c r="P588">
        <v>975</v>
      </c>
      <c r="Q588">
        <v>154.52218842049299</v>
      </c>
      <c r="R588">
        <v>195.02839601474699</v>
      </c>
      <c r="S588" t="s">
        <v>1206</v>
      </c>
      <c r="T588">
        <v>1</v>
      </c>
      <c r="U588">
        <v>122.44398187829</v>
      </c>
      <c r="V588">
        <v>0.81272192971715396</v>
      </c>
      <c r="W588">
        <v>6857.1869999999999</v>
      </c>
      <c r="X588">
        <v>2.84414579935982E-2</v>
      </c>
      <c r="Y588">
        <v>11.14504432678223</v>
      </c>
      <c r="Z588">
        <v>11.294040679931641</v>
      </c>
      <c r="AA588">
        <f t="shared" si="37"/>
        <v>0.10486608113530063</v>
      </c>
      <c r="AB588">
        <f t="shared" si="38"/>
        <v>-0.69904606918876477</v>
      </c>
      <c r="AC588" s="13">
        <f t="shared" si="39"/>
        <v>-0.30399363595777196</v>
      </c>
      <c r="AD588" s="13"/>
      <c r="AE588" s="13"/>
      <c r="AF588" s="13"/>
    </row>
    <row r="589" spans="1:32">
      <c r="A589" s="1" t="s">
        <v>1207</v>
      </c>
      <c r="B589">
        <v>144.59388198350038</v>
      </c>
      <c r="C589">
        <v>10.017438075726604</v>
      </c>
      <c r="D589">
        <v>2204.6106999999997</v>
      </c>
      <c r="E589">
        <v>9272.4273333333331</v>
      </c>
      <c r="F589">
        <v>7067.8166333333329</v>
      </c>
      <c r="G589">
        <v>0.54487179487179482</v>
      </c>
      <c r="H589">
        <v>0.12048213611733051</v>
      </c>
      <c r="I589">
        <v>25.782549805732714</v>
      </c>
      <c r="J589">
        <v>12.617994033817533</v>
      </c>
      <c r="K589">
        <v>1</v>
      </c>
      <c r="L589">
        <f t="shared" si="36"/>
        <v>3.8492852736920393</v>
      </c>
      <c r="M589" t="s">
        <v>605</v>
      </c>
      <c r="N589">
        <v>322</v>
      </c>
      <c r="O589">
        <v>2</v>
      </c>
      <c r="P589">
        <v>969</v>
      </c>
      <c r="Q589">
        <v>51.826327385614398</v>
      </c>
      <c r="R589">
        <v>65.412000727340498</v>
      </c>
      <c r="S589" t="s">
        <v>1208</v>
      </c>
      <c r="T589">
        <v>2</v>
      </c>
      <c r="U589">
        <v>244.887963756581</v>
      </c>
      <c r="V589">
        <v>4.8763315783029197</v>
      </c>
      <c r="W589">
        <v>9252.8410000000003</v>
      </c>
      <c r="X589">
        <v>7.0693963861845803E-3</v>
      </c>
      <c r="Y589">
        <v>13.44428825378418</v>
      </c>
      <c r="Z589">
        <v>10.92996788024902</v>
      </c>
      <c r="AA589">
        <f t="shared" si="37"/>
        <v>0.11110171462788455</v>
      </c>
      <c r="AB589">
        <f t="shared" si="38"/>
        <v>-0.78138416841043423</v>
      </c>
      <c r="AC589" s="13">
        <f t="shared" si="39"/>
        <v>-0.40363280192249862</v>
      </c>
      <c r="AD589" s="13"/>
      <c r="AE589" s="13"/>
      <c r="AF589" s="13"/>
    </row>
    <row r="590" spans="1:32">
      <c r="A590" s="1" t="s">
        <v>1209</v>
      </c>
      <c r="B590">
        <v>133.69183852017403</v>
      </c>
      <c r="C590">
        <v>28.473861871739203</v>
      </c>
      <c r="D590">
        <v>2047.1704066666668</v>
      </c>
      <c r="E590">
        <v>9328.732</v>
      </c>
      <c r="F590">
        <v>7281.5615933333329</v>
      </c>
      <c r="G590">
        <v>0.48642779587404994</v>
      </c>
      <c r="H590">
        <v>7.6477699915388678E-2</v>
      </c>
      <c r="I590">
        <v>5.3228532263590251</v>
      </c>
      <c r="J590">
        <v>5.0061481673412205</v>
      </c>
      <c r="K590">
        <v>1</v>
      </c>
      <c r="L590">
        <f t="shared" si="36"/>
        <v>3.8622245274779363</v>
      </c>
      <c r="M590" t="s">
        <v>605</v>
      </c>
      <c r="N590">
        <v>317</v>
      </c>
      <c r="O590">
        <v>10</v>
      </c>
      <c r="P590">
        <v>954</v>
      </c>
      <c r="Q590">
        <v>263.20603373511699</v>
      </c>
      <c r="R590">
        <v>332.20245652407198</v>
      </c>
      <c r="S590" t="s">
        <v>1210</v>
      </c>
      <c r="T590">
        <v>2</v>
      </c>
      <c r="U590">
        <v>244.887963756581</v>
      </c>
      <c r="V590">
        <v>0.97526631566058497</v>
      </c>
      <c r="W590">
        <v>10339.038</v>
      </c>
      <c r="X590">
        <v>3.2130886502600299E-2</v>
      </c>
      <c r="Y590">
        <v>12.832615852355961</v>
      </c>
      <c r="Z590">
        <v>10.56707096099854</v>
      </c>
      <c r="AA590">
        <f t="shared" si="37"/>
        <v>0.12520494247012121</v>
      </c>
      <c r="AB590">
        <f t="shared" si="38"/>
        <v>-0.78591505990807831</v>
      </c>
      <c r="AC590" s="13">
        <f t="shared" si="39"/>
        <v>-0.19854471531129536</v>
      </c>
      <c r="AD590" s="13"/>
      <c r="AE590" s="13"/>
      <c r="AF590" s="13"/>
    </row>
    <row r="591" spans="1:32">
      <c r="A591" s="1" t="s">
        <v>1211</v>
      </c>
      <c r="B591">
        <v>147.92857495891744</v>
      </c>
      <c r="C591">
        <v>33.70654522478219</v>
      </c>
      <c r="D591">
        <v>38.756841666666666</v>
      </c>
      <c r="E591">
        <v>7736.4397666666664</v>
      </c>
      <c r="F591">
        <v>7697.6829250000001</v>
      </c>
      <c r="G591">
        <v>0.45147679324894513</v>
      </c>
      <c r="H591">
        <v>5.913413355167451E-2</v>
      </c>
      <c r="I591">
        <v>7.0633039554060625E-2</v>
      </c>
      <c r="J591">
        <v>3.9698377306086115E-2</v>
      </c>
      <c r="K591">
        <v>1</v>
      </c>
      <c r="L591">
        <f t="shared" si="36"/>
        <v>3.8863600181175109</v>
      </c>
      <c r="M591" t="s">
        <v>605</v>
      </c>
      <c r="N591">
        <v>326</v>
      </c>
      <c r="O591">
        <v>24</v>
      </c>
      <c r="P591">
        <v>981</v>
      </c>
      <c r="Q591">
        <v>614.30839433223696</v>
      </c>
      <c r="R591">
        <v>775.342247153431</v>
      </c>
      <c r="S591" t="s">
        <v>1212</v>
      </c>
      <c r="T591">
        <v>0</v>
      </c>
      <c r="U591">
        <v>0</v>
      </c>
      <c r="V591">
        <v>0</v>
      </c>
      <c r="W591">
        <v>7447.2245999999996</v>
      </c>
      <c r="X591">
        <v>0.104111570255774</v>
      </c>
      <c r="Y591">
        <v>12.45451831817627</v>
      </c>
      <c r="Z591">
        <v>11.200578689575201</v>
      </c>
      <c r="AA591">
        <f t="shared" si="37"/>
        <v>0.1526612808582167</v>
      </c>
      <c r="AB591">
        <f t="shared" si="38"/>
        <v>-0.78770083025667581</v>
      </c>
      <c r="AC591" s="13">
        <f t="shared" si="39"/>
        <v>0.14210724500736127</v>
      </c>
      <c r="AD591" s="13"/>
      <c r="AE591" s="13"/>
      <c r="AF591" s="13"/>
    </row>
    <row r="592" spans="1:32">
      <c r="A592" s="1" t="s">
        <v>1213</v>
      </c>
      <c r="B592">
        <v>122.57135002853359</v>
      </c>
      <c r="C592">
        <v>3.6787901440630209</v>
      </c>
      <c r="D592">
        <v>158.62788</v>
      </c>
      <c r="E592">
        <v>7972.1134666666667</v>
      </c>
      <c r="F592">
        <v>7813.4855866666667</v>
      </c>
      <c r="G592">
        <v>0.50430107526881729</v>
      </c>
      <c r="H592">
        <v>6.1685320533835242E-2</v>
      </c>
      <c r="I592">
        <v>7.6441718005602052E-2</v>
      </c>
      <c r="J592">
        <v>4.0200132147821754E-2</v>
      </c>
      <c r="K592">
        <v>1</v>
      </c>
      <c r="L592">
        <f t="shared" si="36"/>
        <v>3.8928448153573991</v>
      </c>
      <c r="M592" t="s">
        <v>605</v>
      </c>
      <c r="N592">
        <v>320</v>
      </c>
      <c r="O592">
        <v>9</v>
      </c>
      <c r="P592">
        <v>963</v>
      </c>
      <c r="Q592">
        <v>234.671547834861</v>
      </c>
      <c r="R592">
        <v>296.18798460183598</v>
      </c>
      <c r="S592" t="s">
        <v>1214</v>
      </c>
      <c r="T592">
        <v>0</v>
      </c>
      <c r="U592">
        <v>0</v>
      </c>
      <c r="V592">
        <v>0</v>
      </c>
      <c r="W592">
        <v>9230.4060000000009</v>
      </c>
      <c r="X592">
        <v>3.20882943395812E-2</v>
      </c>
      <c r="Y592">
        <v>13.400130271911619</v>
      </c>
      <c r="Z592">
        <v>10.50534057617188</v>
      </c>
      <c r="AA592">
        <f t="shared" si="37"/>
        <v>0.16030212217780826</v>
      </c>
      <c r="AB592">
        <f t="shared" si="38"/>
        <v>-0.78743814875444451</v>
      </c>
      <c r="AC592" s="13">
        <f t="shared" si="39"/>
        <v>-0.22622988536277525</v>
      </c>
      <c r="AD592" s="13"/>
      <c r="AE592" s="13"/>
      <c r="AF592" s="13"/>
    </row>
    <row r="593" spans="1:32">
      <c r="A593" s="1" t="s">
        <v>1215</v>
      </c>
      <c r="B593">
        <v>124.38889129784735</v>
      </c>
      <c r="C593">
        <v>19.674833074531175</v>
      </c>
      <c r="D593">
        <v>225.67263833333331</v>
      </c>
      <c r="E593">
        <v>8263.3598333333339</v>
      </c>
      <c r="F593">
        <v>8037.6871950000013</v>
      </c>
      <c r="G593">
        <v>0.38019169329073482</v>
      </c>
      <c r="H593">
        <v>8.4696309164606062E-2</v>
      </c>
      <c r="I593">
        <v>8.463001482484088E-2</v>
      </c>
      <c r="J593">
        <v>4.2710367451387378E-2</v>
      </c>
      <c r="K593">
        <v>1</v>
      </c>
      <c r="L593">
        <f t="shared" si="36"/>
        <v>3.9051311006207805</v>
      </c>
      <c r="M593" t="s">
        <v>605</v>
      </c>
      <c r="N593">
        <v>323</v>
      </c>
      <c r="O593">
        <v>1</v>
      </c>
      <c r="P593">
        <v>972</v>
      </c>
      <c r="Q593">
        <v>25.833184792520701</v>
      </c>
      <c r="R593">
        <v>32.605055918103403</v>
      </c>
      <c r="S593" t="s">
        <v>1216</v>
      </c>
      <c r="T593">
        <v>0</v>
      </c>
      <c r="U593">
        <v>0</v>
      </c>
      <c r="V593">
        <v>0</v>
      </c>
      <c r="W593">
        <v>8399.7559999999994</v>
      </c>
      <c r="X593">
        <v>3.8816670291498198E-3</v>
      </c>
      <c r="Y593">
        <v>11.2733907699585</v>
      </c>
      <c r="Z593">
        <v>13.03756046295166</v>
      </c>
      <c r="AA593">
        <f t="shared" si="37"/>
        <v>0.17509529608432248</v>
      </c>
      <c r="AB593">
        <f t="shared" si="38"/>
        <v>-0.78506883552745343</v>
      </c>
      <c r="AC593" s="13">
        <f t="shared" si="39"/>
        <v>-0.42885227058149794</v>
      </c>
      <c r="AD593" s="13"/>
      <c r="AE593" s="13"/>
      <c r="AF593" s="13"/>
    </row>
    <row r="594" spans="1:32">
      <c r="A594" s="1" t="s">
        <v>1217</v>
      </c>
      <c r="B594">
        <v>161.24189919705384</v>
      </c>
      <c r="C594">
        <v>46.85007878467075</v>
      </c>
      <c r="D594">
        <v>627.59656333333328</v>
      </c>
      <c r="E594">
        <v>9379.0354666666663</v>
      </c>
      <c r="F594">
        <v>8751.4389033333337</v>
      </c>
      <c r="G594">
        <v>0.5370892018779343</v>
      </c>
      <c r="H594">
        <v>0.30651422403795808</v>
      </c>
      <c r="I594">
        <v>6.3459690305115654E-2</v>
      </c>
      <c r="J594">
        <v>2.3221809886274727E-2</v>
      </c>
      <c r="K594">
        <v>1</v>
      </c>
      <c r="L594">
        <f t="shared" si="36"/>
        <v>3.9420794651824811</v>
      </c>
      <c r="M594" t="s">
        <v>605</v>
      </c>
      <c r="N594">
        <v>365</v>
      </c>
      <c r="O594">
        <v>3</v>
      </c>
      <c r="P594">
        <v>1098</v>
      </c>
      <c r="Q594">
        <v>68.606162891612499</v>
      </c>
      <c r="R594">
        <v>86.590476372667993</v>
      </c>
      <c r="S594" t="s">
        <v>1218</v>
      </c>
      <c r="T594">
        <v>0</v>
      </c>
      <c r="U594">
        <v>0</v>
      </c>
      <c r="V594">
        <v>0</v>
      </c>
      <c r="W594">
        <v>10950.332</v>
      </c>
      <c r="X594">
        <v>7.9075663069090498E-3</v>
      </c>
      <c r="Y594">
        <v>9.4024753570556641</v>
      </c>
      <c r="Z594">
        <v>11.659830093383791</v>
      </c>
      <c r="AA594">
        <f t="shared" si="37"/>
        <v>0.22218975372866007</v>
      </c>
      <c r="AB594">
        <f t="shared" si="38"/>
        <v>-0.76222948133342194</v>
      </c>
      <c r="AC594" s="13">
        <f t="shared" si="39"/>
        <v>-0.3873524105026816</v>
      </c>
      <c r="AD594" s="13"/>
      <c r="AE594" s="13"/>
      <c r="AF594" s="13"/>
    </row>
    <row r="595" spans="1:32">
      <c r="A595" s="1" t="s">
        <v>1219</v>
      </c>
      <c r="B595">
        <v>120.344803425392</v>
      </c>
      <c r="C595">
        <v>23.932707482562559</v>
      </c>
      <c r="D595">
        <v>9.4275733333333331</v>
      </c>
      <c r="E595">
        <v>9410.0483333333341</v>
      </c>
      <c r="F595">
        <v>9400.6207599999998</v>
      </c>
      <c r="G595">
        <v>0.53082549634273768</v>
      </c>
      <c r="H595">
        <v>9.5868247648736513E-2</v>
      </c>
      <c r="I595">
        <v>0.25728839385522329</v>
      </c>
      <c r="J595">
        <v>0.10112306373301218</v>
      </c>
      <c r="K595">
        <v>1</v>
      </c>
      <c r="L595">
        <f t="shared" si="36"/>
        <v>3.9731565327211089</v>
      </c>
      <c r="M595" t="s">
        <v>605</v>
      </c>
      <c r="N595">
        <v>329</v>
      </c>
      <c r="O595">
        <v>11</v>
      </c>
      <c r="P595">
        <v>990</v>
      </c>
      <c r="Q595">
        <v>278.99839575922402</v>
      </c>
      <c r="R595">
        <v>352.13460391551598</v>
      </c>
      <c r="S595" t="s">
        <v>1220</v>
      </c>
      <c r="T595">
        <v>0</v>
      </c>
      <c r="U595">
        <v>0</v>
      </c>
      <c r="V595">
        <v>0</v>
      </c>
      <c r="W595">
        <v>10735.522000000001</v>
      </c>
      <c r="X595">
        <v>3.28008832654356E-2</v>
      </c>
      <c r="Y595">
        <v>12.54695510864258</v>
      </c>
      <c r="Z595">
        <v>13.406354904174799</v>
      </c>
      <c r="AA595">
        <f t="shared" si="37"/>
        <v>0.26502379124522285</v>
      </c>
      <c r="AB595">
        <f t="shared" si="38"/>
        <v>-0.78391852329853051</v>
      </c>
      <c r="AC595" s="13">
        <f t="shared" si="39"/>
        <v>-0.1832224056793558</v>
      </c>
      <c r="AD595" s="13"/>
      <c r="AE595" s="13"/>
      <c r="AF595" s="13"/>
    </row>
    <row r="596" spans="1:32">
      <c r="A596" s="1" t="s">
        <v>1221</v>
      </c>
      <c r="B596">
        <v>127.27496811907447</v>
      </c>
      <c r="C596">
        <v>26.989039362500996</v>
      </c>
      <c r="D596">
        <v>6.7527059999999999</v>
      </c>
      <c r="E596">
        <v>10305.583333333334</v>
      </c>
      <c r="F596">
        <v>10298.830627333335</v>
      </c>
      <c r="G596">
        <v>0.46964856230031948</v>
      </c>
      <c r="H596">
        <v>7.8211195601445946E-2</v>
      </c>
      <c r="I596">
        <v>7.2662889913371637E-2</v>
      </c>
      <c r="J596">
        <v>4.3606906802019327E-2</v>
      </c>
      <c r="K596">
        <v>1</v>
      </c>
      <c r="L596">
        <f t="shared" si="36"/>
        <v>4.0127879158772926</v>
      </c>
      <c r="M596" t="s">
        <v>605</v>
      </c>
      <c r="N596">
        <v>323</v>
      </c>
      <c r="O596">
        <v>38</v>
      </c>
      <c r="P596">
        <v>972</v>
      </c>
      <c r="Q596">
        <v>981.66102211578902</v>
      </c>
      <c r="R596">
        <v>1238.99212488792</v>
      </c>
      <c r="S596" t="s">
        <v>1222</v>
      </c>
      <c r="T596">
        <v>0</v>
      </c>
      <c r="U596">
        <v>0</v>
      </c>
      <c r="V596">
        <v>0</v>
      </c>
      <c r="W596">
        <v>11244.768</v>
      </c>
      <c r="X596">
        <v>0.11018387617138201</v>
      </c>
      <c r="Y596">
        <v>9.927825927734375</v>
      </c>
      <c r="Z596">
        <v>12.22654342651367</v>
      </c>
      <c r="AA596">
        <f t="shared" si="37"/>
        <v>0.3242890876486898</v>
      </c>
      <c r="AB596">
        <f t="shared" si="38"/>
        <v>-0.78573657152047316</v>
      </c>
      <c r="AC596" s="13">
        <f t="shared" si="39"/>
        <v>0.4985257907837331</v>
      </c>
      <c r="AD596" s="13"/>
      <c r="AE596" s="13"/>
      <c r="AF596" s="13"/>
    </row>
    <row r="597" spans="1:32">
      <c r="A597" s="1" t="s">
        <v>1223</v>
      </c>
      <c r="B597">
        <v>254.35876333087637</v>
      </c>
      <c r="C597">
        <v>107.48728794127295</v>
      </c>
      <c r="D597">
        <v>11.743848</v>
      </c>
      <c r="E597">
        <v>10477.786466666666</v>
      </c>
      <c r="F597">
        <v>10466.042618666668</v>
      </c>
      <c r="G597">
        <v>0.38629283489096572</v>
      </c>
      <c r="H597">
        <v>1.4058978345941675</v>
      </c>
      <c r="I597">
        <v>7.3539911710916797E-2</v>
      </c>
      <c r="J597">
        <v>3.5413854588183753E-2</v>
      </c>
      <c r="K597">
        <v>6.4976385030335049E-35</v>
      </c>
      <c r="L597">
        <f t="shared" si="36"/>
        <v>4.0197824988934299</v>
      </c>
      <c r="M597" t="s">
        <v>605</v>
      </c>
      <c r="N597">
        <v>331</v>
      </c>
      <c r="O597">
        <v>5</v>
      </c>
      <c r="P597">
        <v>996</v>
      </c>
      <c r="Q597">
        <v>126.05349205989</v>
      </c>
      <c r="R597">
        <v>159.096959600384</v>
      </c>
      <c r="S597" t="s">
        <v>1224</v>
      </c>
      <c r="T597">
        <v>0</v>
      </c>
      <c r="U597">
        <v>0</v>
      </c>
      <c r="V597">
        <v>0</v>
      </c>
      <c r="W597">
        <v>9310.8340000000007</v>
      </c>
      <c r="X597">
        <v>1.7087294177984901E-2</v>
      </c>
      <c r="Y597">
        <v>10.441402435302731</v>
      </c>
      <c r="Z597">
        <v>11.595187187194821</v>
      </c>
      <c r="AA597">
        <f t="shared" si="37"/>
        <v>0.33532199720467698</v>
      </c>
      <c r="AB597">
        <f t="shared" si="38"/>
        <v>-0.64903207935196972</v>
      </c>
      <c r="AC597" s="13">
        <f t="shared" si="39"/>
        <v>-0.33161497466498757</v>
      </c>
      <c r="AD597" s="13"/>
      <c r="AE597" s="13"/>
      <c r="AF597" s="13"/>
    </row>
    <row r="598" spans="1:32">
      <c r="A598" s="1" t="s">
        <v>1225</v>
      </c>
      <c r="B598">
        <v>128.55843127730608</v>
      </c>
      <c r="C598">
        <v>20.778045262127193</v>
      </c>
      <c r="D598">
        <v>1020.1136833333334</v>
      </c>
      <c r="E598">
        <v>11608.409666666666</v>
      </c>
      <c r="F598">
        <v>10588.295983333333</v>
      </c>
      <c r="G598">
        <v>0.58624338624338623</v>
      </c>
      <c r="H598">
        <v>8.0333678668778649E-2</v>
      </c>
      <c r="I598">
        <v>9.1621834010874689E-2</v>
      </c>
      <c r="J598">
        <v>3.3259419762772142E-2</v>
      </c>
      <c r="K598">
        <v>1</v>
      </c>
      <c r="L598">
        <f t="shared" si="36"/>
        <v>4.0248260729893159</v>
      </c>
      <c r="M598" t="s">
        <v>605</v>
      </c>
      <c r="N598">
        <v>325</v>
      </c>
      <c r="O598">
        <v>2</v>
      </c>
      <c r="P598">
        <v>978</v>
      </c>
      <c r="Q598">
        <v>51.349397992495199</v>
      </c>
      <c r="R598">
        <v>64.810049800401799</v>
      </c>
      <c r="S598" t="s">
        <v>1226</v>
      </c>
      <c r="T598">
        <v>0</v>
      </c>
      <c r="U598">
        <v>0</v>
      </c>
      <c r="V598">
        <v>0</v>
      </c>
      <c r="W598">
        <v>12300.869000000001</v>
      </c>
      <c r="X598">
        <v>5.2687375014238199E-3</v>
      </c>
      <c r="Y598">
        <v>11.937883377075201</v>
      </c>
      <c r="Z598">
        <v>12.152181625366209</v>
      </c>
      <c r="AA598">
        <f t="shared" si="37"/>
        <v>0.34338846602983208</v>
      </c>
      <c r="AB598">
        <f t="shared" si="38"/>
        <v>-0.78551803127058706</v>
      </c>
      <c r="AC598" s="13">
        <f t="shared" si="39"/>
        <v>-0.40409553573158874</v>
      </c>
      <c r="AD598" s="13"/>
      <c r="AE598" s="13"/>
      <c r="AF598" s="13"/>
    </row>
    <row r="599" spans="1:32">
      <c r="A599" s="1" t="s">
        <v>1227</v>
      </c>
      <c r="B599">
        <v>140.3652162006039</v>
      </c>
      <c r="C599">
        <v>33.221465668532545</v>
      </c>
      <c r="D599">
        <v>66.623869999999997</v>
      </c>
      <c r="E599">
        <v>10768.864</v>
      </c>
      <c r="F599">
        <v>10702.24013</v>
      </c>
      <c r="G599">
        <v>0.59188034188034189</v>
      </c>
      <c r="H599">
        <v>7.343611182772837E-2</v>
      </c>
      <c r="I599">
        <v>9.3979981591676268E-2</v>
      </c>
      <c r="J599">
        <v>3.5309703619601313E-2</v>
      </c>
      <c r="K599">
        <v>1</v>
      </c>
      <c r="L599">
        <f t="shared" si="36"/>
        <v>4.029474691168601</v>
      </c>
      <c r="M599" t="s">
        <v>605</v>
      </c>
      <c r="N599">
        <v>322</v>
      </c>
      <c r="O599">
        <v>8</v>
      </c>
      <c r="P599">
        <v>969</v>
      </c>
      <c r="Q599">
        <v>207.305309542457</v>
      </c>
      <c r="R599">
        <v>261.64800290936199</v>
      </c>
      <c r="S599" t="s">
        <v>1228</v>
      </c>
      <c r="T599">
        <v>0</v>
      </c>
      <c r="U599">
        <v>0</v>
      </c>
      <c r="V599">
        <v>0</v>
      </c>
      <c r="W599">
        <v>10049.053</v>
      </c>
      <c r="X599">
        <v>2.6037080599471601E-2</v>
      </c>
      <c r="Y599">
        <v>12.823215484619141</v>
      </c>
      <c r="Z599">
        <v>10.337222099304199</v>
      </c>
      <c r="AA599">
        <f t="shared" si="37"/>
        <v>0.35090667961357802</v>
      </c>
      <c r="AB599">
        <f t="shared" si="38"/>
        <v>-0.78622823527845398</v>
      </c>
      <c r="AC599" s="13">
        <f t="shared" si="39"/>
        <v>-0.25278158015913138</v>
      </c>
      <c r="AD599" s="13"/>
      <c r="AE599" s="13"/>
      <c r="AF599" s="13"/>
    </row>
    <row r="600" spans="1:32">
      <c r="A600" s="1" t="s">
        <v>1229</v>
      </c>
      <c r="B600">
        <v>129.34594218393974</v>
      </c>
      <c r="C600">
        <v>7.5633441962705588</v>
      </c>
      <c r="D600">
        <v>3112.3443000000002</v>
      </c>
      <c r="E600">
        <v>13927.529</v>
      </c>
      <c r="F600">
        <v>10815.1847</v>
      </c>
      <c r="G600">
        <v>0.57324840764331209</v>
      </c>
      <c r="H600">
        <v>6.0905412010411997E-2</v>
      </c>
      <c r="I600">
        <v>16.167793661687075</v>
      </c>
      <c r="J600">
        <v>3.411519952166854</v>
      </c>
      <c r="K600">
        <v>1</v>
      </c>
      <c r="L600">
        <f t="shared" si="36"/>
        <v>4.0340339406503629</v>
      </c>
      <c r="M600" t="s">
        <v>605</v>
      </c>
      <c r="N600">
        <v>324</v>
      </c>
      <c r="O600">
        <v>10</v>
      </c>
      <c r="P600">
        <v>975</v>
      </c>
      <c r="Q600">
        <v>257.53698070082203</v>
      </c>
      <c r="R600">
        <v>325.04732669124598</v>
      </c>
      <c r="S600" t="s">
        <v>1230</v>
      </c>
      <c r="T600">
        <v>2</v>
      </c>
      <c r="U600">
        <v>244.887963756581</v>
      </c>
      <c r="V600">
        <v>0.97526631566058497</v>
      </c>
      <c r="W600">
        <v>15098.856</v>
      </c>
      <c r="X600">
        <v>2.1527944017165599E-2</v>
      </c>
      <c r="Y600">
        <v>12.703841209411619</v>
      </c>
      <c r="Z600">
        <v>11.646187782287599</v>
      </c>
      <c r="AA600">
        <f t="shared" si="37"/>
        <v>0.35835893956044856</v>
      </c>
      <c r="AB600">
        <f t="shared" si="38"/>
        <v>-0.78751845158758393</v>
      </c>
      <c r="AC600" s="13">
        <f t="shared" si="39"/>
        <v>-0.20404503158942766</v>
      </c>
      <c r="AD600" s="13"/>
      <c r="AE600" s="13"/>
      <c r="AF600" s="13"/>
    </row>
    <row r="601" spans="1:32">
      <c r="A601" s="1" t="s">
        <v>1231</v>
      </c>
      <c r="B601">
        <v>124.97864515763878</v>
      </c>
      <c r="C601">
        <v>17.635499388905068</v>
      </c>
      <c r="D601">
        <v>604.59447733333343</v>
      </c>
      <c r="E601">
        <v>11548.738666666666</v>
      </c>
      <c r="F601">
        <v>10944.144189333334</v>
      </c>
      <c r="G601">
        <v>0.544973544973545</v>
      </c>
      <c r="H601">
        <v>7.6090460768801091E-2</v>
      </c>
      <c r="I601">
        <v>25.679138490313889</v>
      </c>
      <c r="J601">
        <v>4.2332786377598683</v>
      </c>
      <c r="K601">
        <v>1</v>
      </c>
      <c r="L601">
        <f t="shared" si="36"/>
        <v>4.0391818062528042</v>
      </c>
      <c r="M601" t="s">
        <v>605</v>
      </c>
      <c r="N601">
        <v>325</v>
      </c>
      <c r="O601">
        <v>6</v>
      </c>
      <c r="P601">
        <v>978</v>
      </c>
      <c r="Q601">
        <v>154.048193977485</v>
      </c>
      <c r="R601">
        <v>194.430149401205</v>
      </c>
      <c r="S601" t="s">
        <v>1232</v>
      </c>
      <c r="T601">
        <v>0</v>
      </c>
      <c r="U601">
        <v>0</v>
      </c>
      <c r="V601">
        <v>0</v>
      </c>
      <c r="W601">
        <v>12996.058999999999</v>
      </c>
      <c r="X601">
        <v>1.4960700732522401E-2</v>
      </c>
      <c r="Y601">
        <v>12.871293067932131</v>
      </c>
      <c r="Z601">
        <v>13.54269218444824</v>
      </c>
      <c r="AA601">
        <f t="shared" si="37"/>
        <v>0.36686788901350936</v>
      </c>
      <c r="AB601">
        <f t="shared" si="38"/>
        <v>-0.78595493176437892</v>
      </c>
      <c r="AC601" s="13">
        <f t="shared" si="39"/>
        <v>-0.30445352217419108</v>
      </c>
      <c r="AD601" s="13"/>
      <c r="AE601" s="13"/>
      <c r="AF601" s="13"/>
    </row>
    <row r="602" spans="1:32">
      <c r="A602" s="1" t="s">
        <v>1233</v>
      </c>
      <c r="B602">
        <v>134.31113936906272</v>
      </c>
      <c r="C602">
        <v>22.479677169288685</v>
      </c>
      <c r="D602">
        <v>101.72238166666666</v>
      </c>
      <c r="E602">
        <v>11242.3945</v>
      </c>
      <c r="F602">
        <v>11140.672118333334</v>
      </c>
      <c r="G602">
        <v>0.45148895292987512</v>
      </c>
      <c r="H602">
        <v>5.9167767415351756E-2</v>
      </c>
      <c r="I602">
        <v>8.2856942935951333E-2</v>
      </c>
      <c r="J602">
        <v>4.8500769444079127E-2</v>
      </c>
      <c r="K602">
        <v>1</v>
      </c>
      <c r="L602">
        <f t="shared" si="36"/>
        <v>4.0469113926759572</v>
      </c>
      <c r="M602" t="s">
        <v>605</v>
      </c>
      <c r="N602">
        <v>357</v>
      </c>
      <c r="O602">
        <v>13</v>
      </c>
      <c r="P602">
        <v>1074</v>
      </c>
      <c r="Q602">
        <v>303.93679984943401</v>
      </c>
      <c r="R602">
        <v>383.610322701261</v>
      </c>
      <c r="S602" t="s">
        <v>1234</v>
      </c>
      <c r="T602">
        <v>4</v>
      </c>
      <c r="U602">
        <v>489.775927513162</v>
      </c>
      <c r="V602">
        <v>1.5004097164009</v>
      </c>
      <c r="W602">
        <v>12087.897000000001</v>
      </c>
      <c r="X602">
        <v>3.1735075398248401E-2</v>
      </c>
      <c r="Y602">
        <v>11.61577892303467</v>
      </c>
      <c r="Z602">
        <v>13.728898048400881</v>
      </c>
      <c r="AA602">
        <f t="shared" si="37"/>
        <v>0.37983511013558824</v>
      </c>
      <c r="AB602">
        <f t="shared" si="38"/>
        <v>-0.78769736716522132</v>
      </c>
      <c r="AC602" s="13">
        <f t="shared" si="39"/>
        <v>-0.15902628171681438</v>
      </c>
      <c r="AD602" s="13"/>
      <c r="AE602" s="13"/>
      <c r="AF602" s="13"/>
    </row>
    <row r="603" spans="1:32">
      <c r="A603" s="1" t="s">
        <v>1235</v>
      </c>
      <c r="B603">
        <v>118.49079231324691</v>
      </c>
      <c r="C603">
        <v>23.40463332332433</v>
      </c>
      <c r="D603">
        <v>1473.5370833333334</v>
      </c>
      <c r="E603">
        <v>12867.532999999998</v>
      </c>
      <c r="F603">
        <v>11393.995916666667</v>
      </c>
      <c r="G603">
        <v>0.49893162393162394</v>
      </c>
      <c r="H603">
        <v>5.6327215576773781E-2</v>
      </c>
      <c r="I603">
        <v>7.9173298741582923E-2</v>
      </c>
      <c r="J603">
        <v>3.0268716477742152E-2</v>
      </c>
      <c r="K603">
        <v>1</v>
      </c>
      <c r="L603">
        <f t="shared" si="36"/>
        <v>4.0566760594800213</v>
      </c>
      <c r="M603" t="s">
        <v>605</v>
      </c>
      <c r="N603">
        <v>322</v>
      </c>
      <c r="O603">
        <v>98</v>
      </c>
      <c r="P603">
        <v>969</v>
      </c>
      <c r="Q603">
        <v>2539.4900418951001</v>
      </c>
      <c r="R603">
        <v>3205.18803563968</v>
      </c>
      <c r="S603" t="s">
        <v>1236</v>
      </c>
      <c r="T603">
        <v>0</v>
      </c>
      <c r="U603">
        <v>0</v>
      </c>
      <c r="V603">
        <v>0</v>
      </c>
      <c r="W603">
        <v>14298.344999999999</v>
      </c>
      <c r="X603">
        <v>0.22416496703916999</v>
      </c>
      <c r="Y603">
        <v>11.687013626098629</v>
      </c>
      <c r="Z603">
        <v>12.77162551879883</v>
      </c>
      <c r="AA603">
        <f t="shared" si="37"/>
        <v>0.39654981183314314</v>
      </c>
      <c r="AB603">
        <f t="shared" si="38"/>
        <v>-0.78798984295368435</v>
      </c>
      <c r="AC603" s="13">
        <f t="shared" si="39"/>
        <v>2.0099867462913812</v>
      </c>
      <c r="AD603" s="13"/>
      <c r="AE603" s="13"/>
      <c r="AF603" s="13"/>
    </row>
    <row r="604" spans="1:32">
      <c r="A604" s="1" t="s">
        <v>1237</v>
      </c>
      <c r="B604">
        <v>139.41121656767226</v>
      </c>
      <c r="C604">
        <v>4.0623600700340869</v>
      </c>
      <c r="D604">
        <v>8208.2710000000006</v>
      </c>
      <c r="E604">
        <v>20092.868333333336</v>
      </c>
      <c r="F604">
        <v>11884.597333333333</v>
      </c>
      <c r="G604">
        <v>0.47435897435897434</v>
      </c>
      <c r="H604">
        <v>0.11296058222074114</v>
      </c>
      <c r="I604">
        <v>6.9443399307521816E-2</v>
      </c>
      <c r="J604">
        <v>3.6695450299770047E-2</v>
      </c>
      <c r="K604">
        <v>1</v>
      </c>
      <c r="L604">
        <f t="shared" si="36"/>
        <v>4.0749844718131376</v>
      </c>
      <c r="M604" t="s">
        <v>605</v>
      </c>
      <c r="N604">
        <v>322</v>
      </c>
      <c r="O604">
        <v>64</v>
      </c>
      <c r="P604">
        <v>969</v>
      </c>
      <c r="Q604">
        <v>1658.4424763396601</v>
      </c>
      <c r="R604">
        <v>2093.18402327489</v>
      </c>
      <c r="S604" t="s">
        <v>1238</v>
      </c>
      <c r="T604">
        <v>2</v>
      </c>
      <c r="U604">
        <v>244.887963756581</v>
      </c>
      <c r="V604">
        <v>0.15238536182196599</v>
      </c>
      <c r="W604">
        <v>24424.02</v>
      </c>
      <c r="X604">
        <v>8.5701863299935704E-2</v>
      </c>
      <c r="Y604">
        <v>12.466323852539061</v>
      </c>
      <c r="Z604">
        <v>13.32964038848877</v>
      </c>
      <c r="AA604">
        <f t="shared" si="37"/>
        <v>0.42892046309422588</v>
      </c>
      <c r="AB604">
        <f t="shared" si="38"/>
        <v>-0.78215862088706034</v>
      </c>
      <c r="AC604" s="13">
        <f t="shared" si="39"/>
        <v>1.1551631562989679</v>
      </c>
      <c r="AD604" s="13"/>
      <c r="AE604" s="13"/>
      <c r="AF604" s="13"/>
    </row>
    <row r="605" spans="1:32">
      <c r="A605" s="1" t="s">
        <v>1239</v>
      </c>
      <c r="B605">
        <v>132.40994368164144</v>
      </c>
      <c r="C605">
        <v>16.890592831733084</v>
      </c>
      <c r="D605">
        <v>8.9520441999999996</v>
      </c>
      <c r="E605">
        <v>12298.008199999998</v>
      </c>
      <c r="F605">
        <v>12289.056155799999</v>
      </c>
      <c r="G605">
        <v>0.51505376344086029</v>
      </c>
      <c r="H605">
        <v>6.5287820542577993E-2</v>
      </c>
      <c r="I605">
        <v>7.2812336106911082E-2</v>
      </c>
      <c r="J605">
        <v>5.2803670763537369E-2</v>
      </c>
      <c r="K605">
        <v>1</v>
      </c>
      <c r="L605">
        <f t="shared" si="36"/>
        <v>4.0895185287718423</v>
      </c>
      <c r="M605" t="s">
        <v>605</v>
      </c>
      <c r="N605">
        <v>320</v>
      </c>
      <c r="O605">
        <v>10</v>
      </c>
      <c r="P605">
        <v>963</v>
      </c>
      <c r="Q605">
        <v>260.74616426095702</v>
      </c>
      <c r="R605">
        <v>329.097760668707</v>
      </c>
      <c r="S605" t="s">
        <v>1240</v>
      </c>
      <c r="T605">
        <v>1</v>
      </c>
      <c r="U605">
        <v>122.44398187829</v>
      </c>
      <c r="V605">
        <v>0.48763315783029199</v>
      </c>
      <c r="W605">
        <v>13839.457</v>
      </c>
      <c r="X605">
        <v>2.3779672906871E-2</v>
      </c>
      <c r="Y605">
        <v>12.807107925415041</v>
      </c>
      <c r="Z605">
        <v>11.1633186340332</v>
      </c>
      <c r="AA605">
        <f t="shared" si="37"/>
        <v>0.45560729082597751</v>
      </c>
      <c r="AB605">
        <f t="shared" si="38"/>
        <v>-0.787067219410299</v>
      </c>
      <c r="AC605" s="13">
        <f t="shared" si="39"/>
        <v>-0.20093136790194016</v>
      </c>
      <c r="AD605" s="13"/>
      <c r="AE605" s="13"/>
      <c r="AF605" s="13"/>
    </row>
    <row r="606" spans="1:32">
      <c r="A606" s="1" t="s">
        <v>1241</v>
      </c>
      <c r="B606">
        <v>130.78978440187942</v>
      </c>
      <c r="C606">
        <v>21.335817910371386</v>
      </c>
      <c r="D606">
        <v>18.349721333333331</v>
      </c>
      <c r="E606">
        <v>12850.338333333333</v>
      </c>
      <c r="F606">
        <v>12831.988611999999</v>
      </c>
      <c r="G606">
        <v>0.51111111111111107</v>
      </c>
      <c r="H606">
        <v>9.8665158368851189E-2</v>
      </c>
      <c r="I606">
        <v>7.6538747299752338E-2</v>
      </c>
      <c r="J606">
        <v>3.938825809945045E-2</v>
      </c>
      <c r="K606">
        <v>1</v>
      </c>
      <c r="L606">
        <f t="shared" si="36"/>
        <v>4.1082939655171025</v>
      </c>
      <c r="M606" t="s">
        <v>605</v>
      </c>
      <c r="N606">
        <v>325</v>
      </c>
      <c r="O606">
        <v>0</v>
      </c>
      <c r="P606">
        <v>978</v>
      </c>
      <c r="Q606">
        <v>0</v>
      </c>
      <c r="R606">
        <v>0</v>
      </c>
      <c r="S606" t="s">
        <v>1242</v>
      </c>
      <c r="T606">
        <v>0</v>
      </c>
      <c r="U606">
        <v>0</v>
      </c>
      <c r="W606">
        <v>14123.825999999999</v>
      </c>
      <c r="X606">
        <v>0</v>
      </c>
      <c r="Y606">
        <v>12.987186431884769</v>
      </c>
      <c r="Z606">
        <v>12.15657901763916</v>
      </c>
      <c r="AA606">
        <f t="shared" si="37"/>
        <v>0.4914308261866886</v>
      </c>
      <c r="AB606">
        <f t="shared" si="38"/>
        <v>-0.78363054099276297</v>
      </c>
      <c r="AC606" s="13">
        <f t="shared" si="39"/>
        <v>-0.45391654251028785</v>
      </c>
      <c r="AD606" s="13"/>
      <c r="AE606" s="13"/>
      <c r="AF606" s="13"/>
    </row>
    <row r="607" spans="1:32">
      <c r="A607" s="1" t="s">
        <v>1243</v>
      </c>
      <c r="B607">
        <v>121.33086847130816</v>
      </c>
      <c r="C607">
        <v>13.829624613067068</v>
      </c>
      <c r="D607">
        <v>11.743848</v>
      </c>
      <c r="E607">
        <v>13735.370999999999</v>
      </c>
      <c r="F607">
        <v>13723.627151999999</v>
      </c>
      <c r="G607">
        <v>0.51111111111111107</v>
      </c>
      <c r="H607">
        <v>8.8298426626470361E-2</v>
      </c>
      <c r="I607">
        <v>6.9626387569194093E-2</v>
      </c>
      <c r="J607">
        <v>2.9771389663169102E-2</v>
      </c>
      <c r="K607">
        <v>1</v>
      </c>
      <c r="L607">
        <f t="shared" si="36"/>
        <v>4.1374689104896012</v>
      </c>
      <c r="M607" t="s">
        <v>605</v>
      </c>
      <c r="N607">
        <v>325</v>
      </c>
      <c r="O607">
        <v>1</v>
      </c>
      <c r="P607">
        <v>978</v>
      </c>
      <c r="Q607">
        <v>25.674698996247599</v>
      </c>
      <c r="R607">
        <v>32.4050249002009</v>
      </c>
      <c r="S607" t="s">
        <v>1244</v>
      </c>
      <c r="T607">
        <v>0</v>
      </c>
      <c r="U607">
        <v>0</v>
      </c>
      <c r="V607">
        <v>0</v>
      </c>
      <c r="W607">
        <v>14740.880999999999</v>
      </c>
      <c r="X607">
        <v>2.1983099178536801E-3</v>
      </c>
      <c r="Y607">
        <v>10.761134147644039</v>
      </c>
      <c r="Z607">
        <v>11.413060188293461</v>
      </c>
      <c r="AA607">
        <f t="shared" si="37"/>
        <v>0.55026253610181008</v>
      </c>
      <c r="AB607">
        <f t="shared" si="38"/>
        <v>-0.78469794557202766</v>
      </c>
      <c r="AC607" s="13">
        <f t="shared" si="39"/>
        <v>-0.42900603912093832</v>
      </c>
      <c r="AD607" s="13"/>
      <c r="AE607" s="13"/>
      <c r="AF607" s="13"/>
    </row>
    <row r="608" spans="1:32">
      <c r="A608" s="1" t="s">
        <v>1245</v>
      </c>
      <c r="B608">
        <v>133.18050739889748</v>
      </c>
      <c r="C608">
        <v>42.464897430391837</v>
      </c>
      <c r="D608">
        <v>1549.3732366666666</v>
      </c>
      <c r="E608">
        <v>15701.299666666668</v>
      </c>
      <c r="F608">
        <v>14151.92643</v>
      </c>
      <c r="G608">
        <v>0.42250530785562634</v>
      </c>
      <c r="H608">
        <v>0.32217499154659734</v>
      </c>
      <c r="I608">
        <v>7.9473929531962403E-2</v>
      </c>
      <c r="J608">
        <v>3.8402898621188175E-2</v>
      </c>
      <c r="K608">
        <v>1</v>
      </c>
      <c r="L608">
        <f t="shared" si="36"/>
        <v>4.1508155621905249</v>
      </c>
      <c r="M608" t="s">
        <v>605</v>
      </c>
      <c r="N608">
        <v>324</v>
      </c>
      <c r="O608">
        <v>36</v>
      </c>
      <c r="P608">
        <v>975</v>
      </c>
      <c r="Q608">
        <v>927.13313052296098</v>
      </c>
      <c r="R608">
        <v>1170.17037608848</v>
      </c>
      <c r="S608" t="s">
        <v>1246</v>
      </c>
      <c r="T608">
        <v>1</v>
      </c>
      <c r="U608">
        <v>122.44398187829</v>
      </c>
      <c r="V608">
        <v>0.13545365495285899</v>
      </c>
      <c r="W608">
        <v>16924.895</v>
      </c>
      <c r="X608">
        <v>6.9139003585457104E-2</v>
      </c>
      <c r="Y608">
        <v>13.22512149810791</v>
      </c>
      <c r="Z608">
        <v>12.936519622802731</v>
      </c>
      <c r="AA608">
        <f t="shared" si="37"/>
        <v>0.57852239449706511</v>
      </c>
      <c r="AB608">
        <f t="shared" si="38"/>
        <v>-0.76061697940234752</v>
      </c>
      <c r="AC608" s="13">
        <f t="shared" si="39"/>
        <v>0.44562089680481054</v>
      </c>
      <c r="AD608" s="13"/>
      <c r="AE608" s="13"/>
      <c r="AF608" s="13"/>
    </row>
    <row r="609" spans="1:32">
      <c r="A609" s="1" t="s">
        <v>1247</v>
      </c>
      <c r="B609">
        <v>117.73977164793986</v>
      </c>
      <c r="C609">
        <v>14.446966131847747</v>
      </c>
      <c r="D609">
        <v>500.1705566666667</v>
      </c>
      <c r="E609">
        <v>15619.017333333335</v>
      </c>
      <c r="F609">
        <v>15118.846776666665</v>
      </c>
      <c r="G609">
        <v>0.48445873526259375</v>
      </c>
      <c r="H609">
        <v>0.11164200964760125</v>
      </c>
      <c r="I609">
        <v>8.8263684705723447E-2</v>
      </c>
      <c r="J609">
        <v>4.7804903590766806E-2</v>
      </c>
      <c r="K609">
        <v>1</v>
      </c>
      <c r="L609">
        <f t="shared" si="36"/>
        <v>4.1795186656605008</v>
      </c>
      <c r="M609" t="s">
        <v>605</v>
      </c>
      <c r="N609">
        <v>321</v>
      </c>
      <c r="O609">
        <v>15</v>
      </c>
      <c r="P609">
        <v>966</v>
      </c>
      <c r="Q609">
        <v>389.904590346742</v>
      </c>
      <c r="R609">
        <v>492.11357690056599</v>
      </c>
      <c r="S609" t="s">
        <v>1248</v>
      </c>
      <c r="T609">
        <v>1</v>
      </c>
      <c r="U609">
        <v>122.44398187829</v>
      </c>
      <c r="V609">
        <v>0.32508877188686103</v>
      </c>
      <c r="W609">
        <v>16811.752</v>
      </c>
      <c r="X609">
        <v>2.92719983557077E-2</v>
      </c>
      <c r="Y609">
        <v>9.4210100173950195</v>
      </c>
      <c r="Z609">
        <v>12.320688247680661</v>
      </c>
      <c r="AA609">
        <f t="shared" si="37"/>
        <v>0.64232131613870036</v>
      </c>
      <c r="AB609">
        <f t="shared" si="38"/>
        <v>-0.78229438695467335</v>
      </c>
      <c r="AC609" s="13">
        <f t="shared" si="39"/>
        <v>-7.5617282963953911E-2</v>
      </c>
      <c r="AD609" s="13"/>
      <c r="AE609" s="13"/>
      <c r="AF609" s="13"/>
    </row>
    <row r="610" spans="1:32">
      <c r="A610" s="1" t="s">
        <v>1249</v>
      </c>
      <c r="B610">
        <v>121.44008210733148</v>
      </c>
      <c r="C610">
        <v>17.439811429100839</v>
      </c>
      <c r="D610">
        <v>856.99405999999999</v>
      </c>
      <c r="E610">
        <v>17193.566500000001</v>
      </c>
      <c r="F610">
        <v>16336.572439999998</v>
      </c>
      <c r="G610">
        <v>0.58176100628930816</v>
      </c>
      <c r="H610">
        <v>7.2733838070550227E-2</v>
      </c>
      <c r="I610">
        <v>3.7548634091826461E-2</v>
      </c>
      <c r="J610">
        <v>2.8557636673016723E-2</v>
      </c>
      <c r="K610">
        <v>1</v>
      </c>
      <c r="L610">
        <f t="shared" si="36"/>
        <v>4.2131609428609496</v>
      </c>
      <c r="M610" t="s">
        <v>605</v>
      </c>
      <c r="N610">
        <v>328</v>
      </c>
      <c r="O610">
        <v>10</v>
      </c>
      <c r="P610">
        <v>987</v>
      </c>
      <c r="Q610">
        <v>254.40583199929199</v>
      </c>
      <c r="R610">
        <v>321.095383509589</v>
      </c>
      <c r="S610" t="s">
        <v>1250</v>
      </c>
      <c r="T610">
        <v>0</v>
      </c>
      <c r="U610">
        <v>0</v>
      </c>
      <c r="V610">
        <v>0</v>
      </c>
      <c r="W610">
        <v>16782.873</v>
      </c>
      <c r="X610">
        <v>1.9132325169212001E-2</v>
      </c>
      <c r="Y610">
        <v>11.743770599365231</v>
      </c>
      <c r="Z610">
        <v>12.40260696411133</v>
      </c>
      <c r="AA610">
        <f t="shared" si="37"/>
        <v>0.7226687661058423</v>
      </c>
      <c r="AB610">
        <f t="shared" si="38"/>
        <v>-0.78630054449247999</v>
      </c>
      <c r="AC610" s="13">
        <f t="shared" si="39"/>
        <v>-0.20708298308998549</v>
      </c>
      <c r="AD610" s="13"/>
      <c r="AE610" s="13"/>
      <c r="AF610" s="13"/>
    </row>
    <row r="611" spans="1:32">
      <c r="A611" s="1" t="s">
        <v>1251</v>
      </c>
      <c r="B611">
        <v>112.33922548289048</v>
      </c>
      <c r="C611">
        <v>22.415825457173273</v>
      </c>
      <c r="D611">
        <v>7.1091273333333334</v>
      </c>
      <c r="E611">
        <v>16350.745000000001</v>
      </c>
      <c r="F611">
        <v>16343.635872666666</v>
      </c>
      <c r="G611">
        <v>0.57777777777777772</v>
      </c>
      <c r="H611">
        <v>6.6657301704534766E-2</v>
      </c>
      <c r="I611">
        <v>9.7592999700672159E-2</v>
      </c>
      <c r="J611">
        <v>7.5861505878774757E-2</v>
      </c>
      <c r="K611">
        <v>1</v>
      </c>
      <c r="L611">
        <f t="shared" si="36"/>
        <v>4.2133486778869225</v>
      </c>
      <c r="M611" t="s">
        <v>605</v>
      </c>
      <c r="N611">
        <v>325</v>
      </c>
      <c r="O611">
        <v>13</v>
      </c>
      <c r="P611">
        <v>978</v>
      </c>
      <c r="Q611">
        <v>333.77108695121899</v>
      </c>
      <c r="R611">
        <v>421.26532370261202</v>
      </c>
      <c r="S611" t="s">
        <v>1252</v>
      </c>
      <c r="T611">
        <v>0</v>
      </c>
      <c r="U611">
        <v>0</v>
      </c>
      <c r="V611">
        <v>0</v>
      </c>
      <c r="W611">
        <v>15255.578</v>
      </c>
      <c r="X611">
        <v>2.7613855319189601E-2</v>
      </c>
      <c r="Y611">
        <v>11.94759464263916</v>
      </c>
      <c r="Z611">
        <v>12.25071811676025</v>
      </c>
      <c r="AA611">
        <f t="shared" si="37"/>
        <v>0.72313482247623018</v>
      </c>
      <c r="AB611">
        <f t="shared" si="38"/>
        <v>-0.78692621156908005</v>
      </c>
      <c r="AC611" s="13">
        <f t="shared" si="39"/>
        <v>-0.13007999844874332</v>
      </c>
      <c r="AD611" s="13"/>
      <c r="AE611" s="13"/>
      <c r="AF611" s="13"/>
    </row>
    <row r="612" spans="1:32">
      <c r="A612" s="1" t="s">
        <v>1253</v>
      </c>
      <c r="B612">
        <v>122.41323327307184</v>
      </c>
      <c r="C612">
        <v>21.057060636094331</v>
      </c>
      <c r="D612">
        <v>0</v>
      </c>
      <c r="E612">
        <v>16988.642</v>
      </c>
      <c r="F612">
        <v>16988.642</v>
      </c>
      <c r="G612">
        <v>0.49904214559386972</v>
      </c>
      <c r="H612">
        <v>9.6259181693289675E-2</v>
      </c>
      <c r="I612">
        <v>7.5268047023187915E-2</v>
      </c>
      <c r="J612">
        <v>5.1601735292315279E-2</v>
      </c>
      <c r="K612">
        <v>1</v>
      </c>
      <c r="L612">
        <f t="shared" si="36"/>
        <v>4.2301586645972549</v>
      </c>
      <c r="M612" t="s">
        <v>605</v>
      </c>
      <c r="N612">
        <v>358</v>
      </c>
      <c r="O612">
        <v>6</v>
      </c>
      <c r="P612">
        <v>1077</v>
      </c>
      <c r="Q612">
        <v>139.88777503247999</v>
      </c>
      <c r="R612">
        <v>176.55774012477099</v>
      </c>
      <c r="S612" t="s">
        <v>1254</v>
      </c>
      <c r="T612">
        <v>0</v>
      </c>
      <c r="U612">
        <v>0</v>
      </c>
      <c r="V612">
        <v>0</v>
      </c>
      <c r="W612">
        <v>17824.684000000001</v>
      </c>
      <c r="X612">
        <v>9.9052381587674404E-3</v>
      </c>
      <c r="Y612">
        <v>12.32523250579834</v>
      </c>
      <c r="Z612">
        <v>12.45651245117188</v>
      </c>
      <c r="AA612">
        <f t="shared" si="37"/>
        <v>0.76569333881935575</v>
      </c>
      <c r="AB612">
        <f t="shared" si="38"/>
        <v>-0.78387827099918339</v>
      </c>
      <c r="AC612" s="13">
        <f t="shared" si="39"/>
        <v>-0.31819246276218821</v>
      </c>
      <c r="AD612" s="13"/>
      <c r="AE612" s="13"/>
      <c r="AF612" s="13"/>
    </row>
    <row r="613" spans="1:32">
      <c r="A613" s="1" t="s">
        <v>1255</v>
      </c>
      <c r="B613">
        <v>115.3118096258803</v>
      </c>
      <c r="C613">
        <v>11.259776669034684</v>
      </c>
      <c r="D613">
        <v>819.27090333333342</v>
      </c>
      <c r="E613">
        <v>18378.256333333335</v>
      </c>
      <c r="F613">
        <v>17558.985430000001</v>
      </c>
      <c r="G613">
        <v>0.5619335347432024</v>
      </c>
      <c r="H613">
        <v>4.9589325541122588E-2</v>
      </c>
      <c r="I613">
        <v>7.4094419082868929E-2</v>
      </c>
      <c r="J613">
        <v>4.7046240805963098E-2</v>
      </c>
      <c r="K613">
        <v>1</v>
      </c>
      <c r="L613">
        <f t="shared" si="36"/>
        <v>4.2444994184674654</v>
      </c>
      <c r="M613" t="s">
        <v>605</v>
      </c>
      <c r="N613">
        <v>341</v>
      </c>
      <c r="O613">
        <v>1</v>
      </c>
      <c r="P613">
        <v>1026</v>
      </c>
      <c r="Q613">
        <v>24.473543487651199</v>
      </c>
      <c r="R613">
        <v>30.8890003434663</v>
      </c>
      <c r="S613" t="s">
        <v>1256</v>
      </c>
      <c r="T613">
        <v>0</v>
      </c>
      <c r="U613">
        <v>0</v>
      </c>
      <c r="V613">
        <v>0</v>
      </c>
      <c r="W613">
        <v>20339.939999999999</v>
      </c>
      <c r="X613">
        <v>1.5186377316484801E-3</v>
      </c>
      <c r="Y613">
        <v>9.8077688217163086</v>
      </c>
      <c r="Z613">
        <v>12.18344116210938</v>
      </c>
      <c r="AA613">
        <f t="shared" si="37"/>
        <v>0.80332549324120872</v>
      </c>
      <c r="AB613">
        <f t="shared" si="38"/>
        <v>-0.78868360593100084</v>
      </c>
      <c r="AC613" s="13">
        <f t="shared" si="39"/>
        <v>-0.43017144278827629</v>
      </c>
      <c r="AD613" s="13"/>
      <c r="AE613" s="13"/>
      <c r="AF613" s="13"/>
    </row>
    <row r="614" spans="1:32">
      <c r="A614" s="1" t="s">
        <v>1257</v>
      </c>
      <c r="B614">
        <v>130.7776395609915</v>
      </c>
      <c r="C614">
        <v>25.932995464562836</v>
      </c>
      <c r="D614">
        <v>20.682583666666666</v>
      </c>
      <c r="E614">
        <v>18188.00133333333</v>
      </c>
      <c r="F614">
        <v>18167.318749666669</v>
      </c>
      <c r="G614">
        <v>0.50261233019853702</v>
      </c>
      <c r="H614">
        <v>7.5615243001161667E-2</v>
      </c>
      <c r="I614">
        <v>0.5796416478555374</v>
      </c>
      <c r="J614">
        <v>0.15337046813487334</v>
      </c>
      <c r="K614">
        <v>1</v>
      </c>
      <c r="L614">
        <f t="shared" si="36"/>
        <v>4.259290836050531</v>
      </c>
      <c r="M614" t="s">
        <v>605</v>
      </c>
      <c r="N614">
        <v>329</v>
      </c>
      <c r="O614">
        <v>300</v>
      </c>
      <c r="P614">
        <v>990</v>
      </c>
      <c r="Q614">
        <v>7609.04715706975</v>
      </c>
      <c r="R614">
        <v>9603.6710158777205</v>
      </c>
      <c r="S614" t="s">
        <v>1258</v>
      </c>
      <c r="T614">
        <v>0</v>
      </c>
      <c r="U614">
        <v>0</v>
      </c>
      <c r="V614">
        <v>0</v>
      </c>
      <c r="W614">
        <v>18375.506000000001</v>
      </c>
      <c r="X614">
        <v>0.52263437076931196</v>
      </c>
      <c r="Y614">
        <v>11.68006420135498</v>
      </c>
      <c r="Z614">
        <v>12.098390579223629</v>
      </c>
      <c r="AA614">
        <f t="shared" si="37"/>
        <v>0.84346428019217679</v>
      </c>
      <c r="AB614">
        <f t="shared" si="38"/>
        <v>-0.78600386228886154</v>
      </c>
      <c r="AC614" s="13">
        <f t="shared" si="39"/>
        <v>6.9286508256060451</v>
      </c>
      <c r="AD614" s="13"/>
      <c r="AE614" s="13"/>
      <c r="AF614" s="13"/>
    </row>
    <row r="615" spans="1:32">
      <c r="A615" s="1" t="s">
        <v>1259</v>
      </c>
      <c r="B615">
        <v>152.60615582094752</v>
      </c>
      <c r="C615">
        <v>9.5693882587526709</v>
      </c>
      <c r="D615">
        <v>804.6843366666667</v>
      </c>
      <c r="E615">
        <v>20574.191333333332</v>
      </c>
      <c r="F615">
        <v>19769.506996666667</v>
      </c>
      <c r="G615">
        <v>0.56303418803418803</v>
      </c>
      <c r="H615">
        <v>7.9501540561061831E-2</v>
      </c>
      <c r="I615">
        <v>7.5323864479046945E-2</v>
      </c>
      <c r="J615">
        <v>4.9843793050429443E-2</v>
      </c>
      <c r="K615">
        <v>1</v>
      </c>
      <c r="L615">
        <f t="shared" si="36"/>
        <v>4.2959958392025506</v>
      </c>
      <c r="M615" t="s">
        <v>605</v>
      </c>
      <c r="N615">
        <v>322</v>
      </c>
      <c r="O615">
        <v>0</v>
      </c>
      <c r="P615">
        <v>969</v>
      </c>
      <c r="Q615">
        <v>0</v>
      </c>
      <c r="R615">
        <v>0</v>
      </c>
      <c r="S615" t="s">
        <v>1260</v>
      </c>
      <c r="T615">
        <v>0</v>
      </c>
      <c r="U615">
        <v>0</v>
      </c>
      <c r="W615">
        <v>23587.164000000001</v>
      </c>
      <c r="X615">
        <v>0</v>
      </c>
      <c r="Y615">
        <v>9.6354150772094727</v>
      </c>
      <c r="Z615">
        <v>12.105573654174799</v>
      </c>
      <c r="AA615">
        <f t="shared" si="37"/>
        <v>0.94917917467948876</v>
      </c>
      <c r="AB615">
        <f t="shared" si="38"/>
        <v>-0.78560371189287281</v>
      </c>
      <c r="AC615" s="13">
        <f t="shared" si="39"/>
        <v>-0.45391654251028785</v>
      </c>
      <c r="AD615" s="13"/>
      <c r="AE615" s="13"/>
      <c r="AF615" s="13"/>
    </row>
    <row r="616" spans="1:32">
      <c r="A616" s="1" t="s">
        <v>1261</v>
      </c>
      <c r="B616">
        <v>139.97577267816607</v>
      </c>
      <c r="C616">
        <v>21.707426093854433</v>
      </c>
      <c r="D616">
        <v>9276.5420666666669</v>
      </c>
      <c r="E616">
        <v>32195.460000000003</v>
      </c>
      <c r="F616">
        <v>22918.91793333333</v>
      </c>
      <c r="G616">
        <v>0.54179894179894184</v>
      </c>
      <c r="H616">
        <v>6.7648147957190763E-2</v>
      </c>
      <c r="I616">
        <v>1.0369821795150276</v>
      </c>
      <c r="J616">
        <v>0.34998484652402861</v>
      </c>
      <c r="K616">
        <v>1</v>
      </c>
      <c r="L616">
        <f t="shared" si="36"/>
        <v>4.3601941095136896</v>
      </c>
      <c r="M616" t="s">
        <v>605</v>
      </c>
      <c r="N616">
        <v>325</v>
      </c>
      <c r="O616">
        <v>2</v>
      </c>
      <c r="P616">
        <v>978</v>
      </c>
      <c r="Q616">
        <v>51.349397992495199</v>
      </c>
      <c r="R616">
        <v>64.810049800401799</v>
      </c>
      <c r="S616" t="s">
        <v>1262</v>
      </c>
      <c r="T616">
        <v>1</v>
      </c>
      <c r="U616">
        <v>122.44398187829</v>
      </c>
      <c r="V616">
        <v>2.4381657891514599</v>
      </c>
      <c r="W616">
        <v>39637.72</v>
      </c>
      <c r="X616">
        <v>1.6350599832785999E-3</v>
      </c>
      <c r="AA616">
        <f t="shared" si="37"/>
        <v>1.1569822499362901</v>
      </c>
      <c r="AB616">
        <f t="shared" si="38"/>
        <v>-0.78682418965381162</v>
      </c>
      <c r="AC616" s="13">
        <f t="shared" si="39"/>
        <v>-0.40409553573158874</v>
      </c>
      <c r="AD616" s="13"/>
      <c r="AE616" s="13"/>
      <c r="AF616" s="13"/>
    </row>
    <row r="617" spans="1:32">
      <c r="A617" s="1" t="s">
        <v>1263</v>
      </c>
      <c r="B617">
        <v>119.97244355246717</v>
      </c>
      <c r="C617">
        <v>13.254373489430154</v>
      </c>
      <c r="D617">
        <v>939.98286666666672</v>
      </c>
      <c r="E617">
        <v>24039.519666666671</v>
      </c>
      <c r="F617">
        <v>23099.536800000002</v>
      </c>
      <c r="G617">
        <v>0.5534391534391534</v>
      </c>
      <c r="H617">
        <v>7.4996755601668616E-2</v>
      </c>
      <c r="I617">
        <v>0.10615349156648413</v>
      </c>
      <c r="J617">
        <v>3.9902214293536679E-2</v>
      </c>
      <c r="K617">
        <v>1</v>
      </c>
      <c r="L617">
        <f t="shared" si="36"/>
        <v>4.3636032713544424</v>
      </c>
      <c r="M617" t="s">
        <v>605</v>
      </c>
      <c r="N617">
        <v>325</v>
      </c>
      <c r="O617">
        <v>0</v>
      </c>
      <c r="P617">
        <v>978</v>
      </c>
      <c r="Q617">
        <v>0</v>
      </c>
      <c r="R617">
        <v>0</v>
      </c>
      <c r="S617" t="s">
        <v>1264</v>
      </c>
      <c r="T617">
        <v>1</v>
      </c>
      <c r="U617">
        <v>122.44398187829</v>
      </c>
      <c r="W617">
        <v>24465.877</v>
      </c>
      <c r="X617">
        <v>0</v>
      </c>
      <c r="AA617">
        <f t="shared" si="37"/>
        <v>1.1688997661631364</v>
      </c>
      <c r="AB617">
        <f t="shared" si="38"/>
        <v>-0.78606754448869476</v>
      </c>
      <c r="AC617" s="13">
        <f t="shared" si="39"/>
        <v>-0.45391654251028785</v>
      </c>
      <c r="AD617" s="13"/>
      <c r="AE617" s="13"/>
      <c r="AF617" s="13"/>
    </row>
    <row r="618" spans="1:32">
      <c r="A618" s="1" t="s">
        <v>1265</v>
      </c>
      <c r="B618">
        <v>859.15953221907876</v>
      </c>
      <c r="C618">
        <v>166.2475168725837</v>
      </c>
      <c r="D618">
        <v>2749.4961000000003</v>
      </c>
      <c r="E618">
        <v>1834.7298433333333</v>
      </c>
      <c r="F618">
        <v>-914.76625666666666</v>
      </c>
      <c r="G618">
        <v>0.49064906490649063</v>
      </c>
      <c r="H618">
        <v>17.348231130819464</v>
      </c>
      <c r="I618">
        <v>17.407293905762405</v>
      </c>
      <c r="J618">
        <v>6.3991014786435576</v>
      </c>
      <c r="K618">
        <v>0</v>
      </c>
      <c r="L618" t="e">
        <f t="shared" si="36"/>
        <v>#NUM!</v>
      </c>
      <c r="M618" t="s">
        <v>605</v>
      </c>
      <c r="N618">
        <v>313</v>
      </c>
      <c r="O618">
        <v>210</v>
      </c>
      <c r="P618">
        <v>942</v>
      </c>
      <c r="Q618">
        <v>5597.7385136404901</v>
      </c>
      <c r="R618">
        <v>7065.1210339737399</v>
      </c>
      <c r="S618" t="s">
        <v>1266</v>
      </c>
      <c r="T618">
        <v>0</v>
      </c>
      <c r="U618">
        <v>0</v>
      </c>
      <c r="V618">
        <v>0</v>
      </c>
      <c r="W618">
        <v>3533.0610000000001</v>
      </c>
      <c r="X618">
        <v>1.99971668589184</v>
      </c>
      <c r="Y618">
        <v>11.97935581207275</v>
      </c>
      <c r="Z618">
        <v>12.027753829956049</v>
      </c>
      <c r="AA618">
        <f t="shared" si="37"/>
        <v>-0.41560162970926368</v>
      </c>
      <c r="AB618">
        <f t="shared" si="38"/>
        <v>0.99246111131156134</v>
      </c>
      <c r="AC618" s="13">
        <f t="shared" si="39"/>
        <v>4.9772078588746629</v>
      </c>
      <c r="AD618" s="13"/>
      <c r="AE618" s="13"/>
      <c r="AF618" s="13"/>
    </row>
    <row r="619" spans="1:32">
      <c r="A619" s="1" t="s">
        <v>1267</v>
      </c>
      <c r="B619">
        <v>836.70019019476786</v>
      </c>
      <c r="C619">
        <v>298.2458058781209</v>
      </c>
      <c r="D619">
        <v>141.12821833333334</v>
      </c>
      <c r="E619">
        <v>99.964541000000011</v>
      </c>
      <c r="F619">
        <v>-41.163677333333318</v>
      </c>
      <c r="G619">
        <v>0.41613588110403399</v>
      </c>
      <c r="H619">
        <v>17.026332578583617</v>
      </c>
      <c r="I619">
        <v>0.44285191345647018</v>
      </c>
      <c r="J619">
        <v>0.16260655464555832</v>
      </c>
      <c r="K619">
        <v>0</v>
      </c>
      <c r="L619" t="e">
        <f t="shared" si="36"/>
        <v>#NUM!</v>
      </c>
      <c r="M619" t="s">
        <v>605</v>
      </c>
      <c r="N619">
        <v>324</v>
      </c>
      <c r="O619">
        <v>11</v>
      </c>
      <c r="P619">
        <v>975</v>
      </c>
      <c r="Q619">
        <v>283.29067877090398</v>
      </c>
      <c r="R619">
        <v>357.55205936036998</v>
      </c>
      <c r="S619" t="s">
        <v>1268</v>
      </c>
      <c r="T619">
        <v>0</v>
      </c>
      <c r="U619">
        <v>0</v>
      </c>
      <c r="V619">
        <v>0</v>
      </c>
      <c r="W619">
        <v>93.552679999999995</v>
      </c>
      <c r="X619">
        <v>3.82193283356896</v>
      </c>
      <c r="AA619">
        <f t="shared" si="37"/>
        <v>-0.35795996077866699</v>
      </c>
      <c r="AB619">
        <f t="shared" si="38"/>
        <v>0.95931701177722906</v>
      </c>
      <c r="AC619" s="13">
        <f t="shared" si="39"/>
        <v>-0.17905788049734186</v>
      </c>
      <c r="AD619" s="13"/>
      <c r="AE619" s="13"/>
      <c r="AF619" s="13"/>
    </row>
    <row r="620" spans="1:32">
      <c r="A620" s="1" t="s">
        <v>1269</v>
      </c>
      <c r="B620">
        <v>1612.864767764376</v>
      </c>
      <c r="C620">
        <v>717.70627247882214</v>
      </c>
      <c r="D620">
        <v>47.709376666666664</v>
      </c>
      <c r="E620">
        <v>14.813046666666667</v>
      </c>
      <c r="F620">
        <v>-32.896329999999999</v>
      </c>
      <c r="G620">
        <v>0.57799145299145294</v>
      </c>
      <c r="H620">
        <v>15.076218002359191</v>
      </c>
      <c r="I620">
        <v>8.6063772149523154E-2</v>
      </c>
      <c r="J620">
        <v>8.2053959094450818E-2</v>
      </c>
      <c r="K620">
        <v>0</v>
      </c>
      <c r="L620" t="e">
        <f t="shared" si="36"/>
        <v>#NUM!</v>
      </c>
      <c r="M620" t="s">
        <v>605</v>
      </c>
      <c r="N620">
        <v>322</v>
      </c>
      <c r="O620">
        <v>16</v>
      </c>
      <c r="P620">
        <v>969</v>
      </c>
      <c r="Q620">
        <v>414.61061908491502</v>
      </c>
      <c r="R620">
        <v>523.29600581872398</v>
      </c>
      <c r="S620" t="s">
        <v>1270</v>
      </c>
      <c r="T620">
        <v>0</v>
      </c>
      <c r="U620">
        <v>0</v>
      </c>
      <c r="V620">
        <v>0</v>
      </c>
      <c r="W620">
        <v>0</v>
      </c>
      <c r="X620" t="s">
        <v>56</v>
      </c>
      <c r="AA620">
        <f t="shared" si="37"/>
        <v>-0.35741446822954248</v>
      </c>
      <c r="AB620">
        <f t="shared" si="38"/>
        <v>0.75852458457060268</v>
      </c>
      <c r="AC620" s="13">
        <f t="shared" si="39"/>
        <v>-5.1646617807973916E-2</v>
      </c>
      <c r="AD620" s="13"/>
      <c r="AE620" s="13"/>
      <c r="AF620" s="13"/>
    </row>
    <row r="621" spans="1:32">
      <c r="A621" s="1" t="s">
        <v>1271</v>
      </c>
      <c r="B621">
        <v>839.68713157274033</v>
      </c>
      <c r="C621">
        <v>269.39419299264955</v>
      </c>
      <c r="D621">
        <v>1483.277</v>
      </c>
      <c r="E621">
        <v>1181.42381</v>
      </c>
      <c r="F621">
        <v>-301.85318999999998</v>
      </c>
      <c r="G621">
        <v>0.52609158679446222</v>
      </c>
      <c r="H621">
        <v>17.832209413712256</v>
      </c>
      <c r="I621">
        <v>7.6964819428591749E-2</v>
      </c>
      <c r="J621">
        <v>4.1338460221598337E-2</v>
      </c>
      <c r="K621">
        <v>0</v>
      </c>
      <c r="L621" t="e">
        <f t="shared" si="36"/>
        <v>#NUM!</v>
      </c>
      <c r="M621" t="s">
        <v>605</v>
      </c>
      <c r="N621">
        <v>323</v>
      </c>
      <c r="O621">
        <v>0</v>
      </c>
      <c r="P621">
        <v>972</v>
      </c>
      <c r="Q621">
        <v>0</v>
      </c>
      <c r="R621">
        <v>0</v>
      </c>
      <c r="S621" t="s">
        <v>1272</v>
      </c>
      <c r="T621">
        <v>0</v>
      </c>
      <c r="U621">
        <v>0</v>
      </c>
      <c r="W621">
        <v>2174.7456000000002</v>
      </c>
      <c r="X621">
        <v>0</v>
      </c>
      <c r="Y621">
        <v>12.097536087036129</v>
      </c>
      <c r="Z621">
        <v>11.529454231262211</v>
      </c>
      <c r="AA621">
        <f t="shared" si="37"/>
        <v>-0.37516066386527841</v>
      </c>
      <c r="AB621">
        <f t="shared" si="38"/>
        <v>1.0422936572153438</v>
      </c>
      <c r="AC621" s="13">
        <f t="shared" si="39"/>
        <v>-0.45391654251028785</v>
      </c>
      <c r="AD621" s="13"/>
      <c r="AE621" s="13"/>
      <c r="AF621" s="13"/>
    </row>
    <row r="622" spans="1:32">
      <c r="A622" s="1" t="s">
        <v>1273</v>
      </c>
      <c r="B622">
        <v>1495.9168954281074</v>
      </c>
      <c r="C622">
        <v>216.69855362319007</v>
      </c>
      <c r="D622">
        <v>0</v>
      </c>
      <c r="E622">
        <v>0</v>
      </c>
      <c r="F622">
        <v>0</v>
      </c>
      <c r="G622">
        <v>0.49367088607594939</v>
      </c>
      <c r="H622">
        <v>17.176565901387093</v>
      </c>
      <c r="I622">
        <v>0.46959784308216063</v>
      </c>
      <c r="J622">
        <v>0.14948297507249991</v>
      </c>
      <c r="K622">
        <v>0</v>
      </c>
      <c r="L622" t="e">
        <f t="shared" si="36"/>
        <v>#NUM!</v>
      </c>
      <c r="M622" t="s">
        <v>605</v>
      </c>
      <c r="N622">
        <v>326</v>
      </c>
      <c r="O622">
        <v>3</v>
      </c>
      <c r="P622">
        <v>981</v>
      </c>
      <c r="Q622">
        <v>76.788549291529606</v>
      </c>
      <c r="R622">
        <v>96.917780894178804</v>
      </c>
      <c r="S622" t="s">
        <v>1274</v>
      </c>
      <c r="T622">
        <v>0</v>
      </c>
      <c r="U622">
        <v>0</v>
      </c>
      <c r="V622">
        <v>0</v>
      </c>
      <c r="W622">
        <v>0</v>
      </c>
      <c r="X622" t="s">
        <v>56</v>
      </c>
      <c r="Y622">
        <v>11.363039970397949</v>
      </c>
      <c r="Z622">
        <v>12.25992584228516</v>
      </c>
      <c r="AA622">
        <f t="shared" si="37"/>
        <v>-0.3552439167594007</v>
      </c>
      <c r="AB622">
        <f t="shared" si="38"/>
        <v>0.97478569956655359</v>
      </c>
      <c r="AC622" s="13">
        <f t="shared" si="39"/>
        <v>-0.37941356907058177</v>
      </c>
      <c r="AD622" s="13"/>
      <c r="AE622" s="13"/>
      <c r="AF622" s="13"/>
    </row>
    <row r="623" spans="1:32">
      <c r="A623" s="1" t="s">
        <v>1275</v>
      </c>
      <c r="B623">
        <v>947.70407715233932</v>
      </c>
      <c r="C623">
        <v>94.98673052905184</v>
      </c>
      <c r="D623">
        <v>4236.463553333333</v>
      </c>
      <c r="E623">
        <v>3944.6045666666669</v>
      </c>
      <c r="F623">
        <v>-291.85898666666645</v>
      </c>
      <c r="G623">
        <v>0.46979166666666672</v>
      </c>
      <c r="H623">
        <v>18.609025577816485</v>
      </c>
      <c r="I623">
        <v>7.1761001442399275E-2</v>
      </c>
      <c r="J623">
        <v>3.9379623647187292E-2</v>
      </c>
      <c r="K623">
        <v>0</v>
      </c>
      <c r="L623" t="e">
        <f t="shared" si="36"/>
        <v>#NUM!</v>
      </c>
      <c r="M623" t="s">
        <v>605</v>
      </c>
      <c r="N623">
        <v>330</v>
      </c>
      <c r="O623">
        <v>7</v>
      </c>
      <c r="P623">
        <v>993</v>
      </c>
      <c r="Q623">
        <v>177.00804564784599</v>
      </c>
      <c r="R623">
        <v>223.40866109443601</v>
      </c>
      <c r="S623" t="s">
        <v>1276</v>
      </c>
      <c r="T623">
        <v>0</v>
      </c>
      <c r="U623">
        <v>0</v>
      </c>
      <c r="V623">
        <v>0</v>
      </c>
      <c r="W623">
        <v>6400.5635000000002</v>
      </c>
      <c r="X623">
        <v>3.4904530061210401E-2</v>
      </c>
      <c r="Y623">
        <v>10.24947929382324</v>
      </c>
      <c r="Z623">
        <v>11.12989330291748</v>
      </c>
      <c r="AA623">
        <f t="shared" si="37"/>
        <v>-0.3745012306477109</v>
      </c>
      <c r="AB623">
        <f t="shared" si="38"/>
        <v>1.1222780873537084</v>
      </c>
      <c r="AC623" s="13">
        <f t="shared" si="39"/>
        <v>-0.28217705992872988</v>
      </c>
      <c r="AD623" s="13"/>
      <c r="AE623" s="13"/>
      <c r="AF623" s="13"/>
    </row>
    <row r="624" spans="1:32">
      <c r="A624" s="1" t="s">
        <v>1277</v>
      </c>
      <c r="B624">
        <v>1672.3121025599146</v>
      </c>
      <c r="C624">
        <v>318.08736032161357</v>
      </c>
      <c r="D624">
        <v>150.624718</v>
      </c>
      <c r="E624">
        <v>137.14748666666665</v>
      </c>
      <c r="F624">
        <v>-13.47723133333335</v>
      </c>
      <c r="G624">
        <v>0.46688034188034189</v>
      </c>
      <c r="H624">
        <v>19.132213185886737</v>
      </c>
      <c r="I624">
        <v>17.434572673164833</v>
      </c>
      <c r="J624">
        <v>8.4508059017351318</v>
      </c>
      <c r="K624">
        <v>0</v>
      </c>
      <c r="L624" t="e">
        <f t="shared" si="36"/>
        <v>#NUM!</v>
      </c>
      <c r="M624" t="s">
        <v>605</v>
      </c>
      <c r="N624">
        <v>322</v>
      </c>
      <c r="O624">
        <v>6</v>
      </c>
      <c r="P624">
        <v>969</v>
      </c>
      <c r="Q624">
        <v>155.47898215684299</v>
      </c>
      <c r="R624">
        <v>196.236002182021</v>
      </c>
      <c r="S624" t="s">
        <v>1278</v>
      </c>
      <c r="T624">
        <v>0</v>
      </c>
      <c r="U624">
        <v>0</v>
      </c>
      <c r="V624">
        <v>0</v>
      </c>
      <c r="W624">
        <v>296.57977</v>
      </c>
      <c r="X624">
        <v>0.66166347820022098</v>
      </c>
      <c r="AA624">
        <f t="shared" si="37"/>
        <v>-0.35613316562953329</v>
      </c>
      <c r="AB624">
        <f t="shared" si="38"/>
        <v>1.1761477989027826</v>
      </c>
      <c r="AC624" s="13">
        <f t="shared" si="39"/>
        <v>-0.30306532074692027</v>
      </c>
      <c r="AD624" s="13"/>
      <c r="AE624" s="13"/>
      <c r="AF624" s="13"/>
    </row>
    <row r="625" spans="1:32">
      <c r="A625" s="1" t="s">
        <v>1279</v>
      </c>
      <c r="B625">
        <v>828.02769232923822</v>
      </c>
      <c r="C625">
        <v>41.819609559737856</v>
      </c>
      <c r="D625">
        <v>1161.4646500000001</v>
      </c>
      <c r="E625">
        <v>948.67168000000004</v>
      </c>
      <c r="F625">
        <v>-212.79296999999994</v>
      </c>
      <c r="G625">
        <v>0.4575371549893843</v>
      </c>
      <c r="H625">
        <v>15.840032700039286</v>
      </c>
      <c r="I625">
        <v>7.0396666880852166E-2</v>
      </c>
      <c r="J625">
        <v>3.4227693845753179E-2</v>
      </c>
      <c r="K625">
        <v>0</v>
      </c>
      <c r="L625" t="e">
        <f t="shared" si="36"/>
        <v>#NUM!</v>
      </c>
      <c r="M625" t="s">
        <v>605</v>
      </c>
      <c r="N625">
        <v>324</v>
      </c>
      <c r="O625">
        <v>11</v>
      </c>
      <c r="P625">
        <v>975</v>
      </c>
      <c r="Q625">
        <v>283.29067877090398</v>
      </c>
      <c r="R625">
        <v>357.55205936036998</v>
      </c>
      <c r="S625" t="s">
        <v>1280</v>
      </c>
      <c r="T625">
        <v>0</v>
      </c>
      <c r="U625">
        <v>0</v>
      </c>
      <c r="V625">
        <v>0</v>
      </c>
      <c r="W625">
        <v>644.63220000000001</v>
      </c>
      <c r="X625">
        <v>0.55466056359016902</v>
      </c>
      <c r="AA625">
        <f t="shared" si="37"/>
        <v>-0.36928433080769557</v>
      </c>
      <c r="AB625">
        <f t="shared" si="38"/>
        <v>0.83717032618657206</v>
      </c>
      <c r="AC625" s="13">
        <f t="shared" si="39"/>
        <v>-0.17905788049734186</v>
      </c>
      <c r="AD625" s="13"/>
      <c r="AE625" s="13"/>
      <c r="AF625" s="13"/>
    </row>
    <row r="626" spans="1:32">
      <c r="A626" s="1" t="s">
        <v>1281</v>
      </c>
      <c r="B626">
        <v>973.16481738816663</v>
      </c>
      <c r="C626">
        <v>105.6393318659681</v>
      </c>
      <c r="D626">
        <v>0</v>
      </c>
      <c r="E626">
        <v>0</v>
      </c>
      <c r="F626">
        <v>0</v>
      </c>
      <c r="G626">
        <v>0.4670846394984326</v>
      </c>
      <c r="H626">
        <v>16.302281621293108</v>
      </c>
      <c r="I626">
        <v>7.0178182787907092E-2</v>
      </c>
      <c r="J626">
        <v>3.4657862929316885E-2</v>
      </c>
      <c r="K626">
        <v>0</v>
      </c>
      <c r="L626" t="e">
        <f t="shared" si="36"/>
        <v>#NUM!</v>
      </c>
      <c r="M626" t="s">
        <v>605</v>
      </c>
      <c r="N626">
        <v>329</v>
      </c>
      <c r="O626">
        <v>1</v>
      </c>
      <c r="P626">
        <v>990</v>
      </c>
      <c r="Q626">
        <v>25.363490523565801</v>
      </c>
      <c r="R626">
        <v>32.012236719592401</v>
      </c>
      <c r="S626" t="s">
        <v>1282</v>
      </c>
      <c r="T626">
        <v>0</v>
      </c>
      <c r="U626">
        <v>0</v>
      </c>
      <c r="V626">
        <v>0</v>
      </c>
      <c r="W626">
        <v>0</v>
      </c>
      <c r="X626" t="s">
        <v>56</v>
      </c>
      <c r="Y626">
        <v>12.41121673583984</v>
      </c>
      <c r="Z626">
        <v>12.671139717102051</v>
      </c>
      <c r="AA626">
        <f t="shared" si="37"/>
        <v>-0.3552439167594007</v>
      </c>
      <c r="AB626">
        <f t="shared" si="38"/>
        <v>0.88476552085041527</v>
      </c>
      <c r="AC626" s="13">
        <f t="shared" si="39"/>
        <v>-0.42930798461656677</v>
      </c>
      <c r="AD626" s="13"/>
      <c r="AE626" s="13"/>
      <c r="AF626" s="13"/>
    </row>
    <row r="627" spans="1:32">
      <c r="A627" s="1" t="s">
        <v>1283</v>
      </c>
      <c r="B627">
        <v>948.42212401772383</v>
      </c>
      <c r="C627">
        <v>66.79827402982346</v>
      </c>
      <c r="D627">
        <v>132.87984900000001</v>
      </c>
      <c r="E627">
        <v>65.214952333333329</v>
      </c>
      <c r="F627">
        <v>-67.664896666666678</v>
      </c>
      <c r="G627">
        <v>0.4549402823018458</v>
      </c>
      <c r="H627">
        <v>16.182866965593213</v>
      </c>
      <c r="I627">
        <v>7.6991254074782176E-2</v>
      </c>
      <c r="J627">
        <v>4.2536793152258952E-2</v>
      </c>
      <c r="K627">
        <v>0</v>
      </c>
      <c r="L627" t="e">
        <f t="shared" si="36"/>
        <v>#NUM!</v>
      </c>
      <c r="M627" t="s">
        <v>605</v>
      </c>
      <c r="N627">
        <v>317</v>
      </c>
      <c r="O627">
        <v>0</v>
      </c>
      <c r="P627">
        <v>954</v>
      </c>
      <c r="Q627">
        <v>0</v>
      </c>
      <c r="R627">
        <v>0</v>
      </c>
      <c r="S627" t="s">
        <v>1284</v>
      </c>
      <c r="T627">
        <v>0</v>
      </c>
      <c r="U627">
        <v>0</v>
      </c>
      <c r="W627">
        <v>76.775729999999996</v>
      </c>
      <c r="X627">
        <v>0</v>
      </c>
      <c r="Y627">
        <v>12.33911228179932</v>
      </c>
      <c r="Z627">
        <v>13.65509700775146</v>
      </c>
      <c r="AA627">
        <f t="shared" si="37"/>
        <v>-0.35970855281262698</v>
      </c>
      <c r="AB627">
        <f t="shared" si="38"/>
        <v>0.87247005941735012</v>
      </c>
      <c r="AC627" s="13">
        <f t="shared" si="39"/>
        <v>-0.45391654251028785</v>
      </c>
      <c r="AD627" s="13"/>
      <c r="AE627" s="13"/>
      <c r="AF627" s="13"/>
    </row>
    <row r="628" spans="1:32">
      <c r="A628" s="1" t="s">
        <v>1285</v>
      </c>
      <c r="B628">
        <v>763.36809308873706</v>
      </c>
      <c r="C628">
        <v>118.4318972922043</v>
      </c>
      <c r="D628">
        <v>0</v>
      </c>
      <c r="E628">
        <v>0</v>
      </c>
      <c r="F628">
        <v>0</v>
      </c>
      <c r="G628">
        <v>0.4621212121212121</v>
      </c>
      <c r="H628">
        <v>17.885215115191539</v>
      </c>
      <c r="I628">
        <v>7.2324140949325613E-2</v>
      </c>
      <c r="J628">
        <v>3.0229074620608021E-2</v>
      </c>
      <c r="K628">
        <v>0</v>
      </c>
      <c r="L628" t="e">
        <f t="shared" si="36"/>
        <v>#NUM!</v>
      </c>
      <c r="M628" t="s">
        <v>605</v>
      </c>
      <c r="N628">
        <v>318</v>
      </c>
      <c r="O628">
        <v>15</v>
      </c>
      <c r="P628">
        <v>957</v>
      </c>
      <c r="Q628">
        <v>393.57140467602102</v>
      </c>
      <c r="R628">
        <v>496.74160426953699</v>
      </c>
      <c r="S628" t="s">
        <v>1286</v>
      </c>
      <c r="T628">
        <v>0</v>
      </c>
      <c r="U628">
        <v>0</v>
      </c>
      <c r="V628">
        <v>0</v>
      </c>
      <c r="W628">
        <v>0</v>
      </c>
      <c r="X628" t="s">
        <v>56</v>
      </c>
      <c r="Y628">
        <v>12.75373363494873</v>
      </c>
      <c r="Z628">
        <v>12.04512977600098</v>
      </c>
      <c r="AA628">
        <f t="shared" si="37"/>
        <v>-0.3552439167594007</v>
      </c>
      <c r="AB628">
        <f t="shared" si="38"/>
        <v>1.0477513588219955</v>
      </c>
      <c r="AC628" s="13">
        <f t="shared" si="39"/>
        <v>-7.2059609676684969E-2</v>
      </c>
      <c r="AD628" s="13"/>
      <c r="AE628" s="13"/>
      <c r="AF628" s="13"/>
    </row>
    <row r="629" spans="1:32">
      <c r="A629" s="1" t="s">
        <v>1287</v>
      </c>
      <c r="B629">
        <v>1467.6373827005311</v>
      </c>
      <c r="C629">
        <v>156.37688398284985</v>
      </c>
      <c r="D629">
        <v>471.26249999999999</v>
      </c>
      <c r="E629">
        <v>191.03087666666667</v>
      </c>
      <c r="F629">
        <v>-280.23162333333329</v>
      </c>
      <c r="G629">
        <v>0.4261057173678533</v>
      </c>
      <c r="H629">
        <v>19.454724206465446</v>
      </c>
      <c r="I629">
        <v>7.6780274958394276E-2</v>
      </c>
      <c r="J629">
        <v>4.0603919813170145E-2</v>
      </c>
      <c r="K629">
        <v>0</v>
      </c>
      <c r="L629" t="e">
        <f t="shared" si="36"/>
        <v>#NUM!</v>
      </c>
      <c r="M629" t="s">
        <v>605</v>
      </c>
      <c r="N629">
        <v>319</v>
      </c>
      <c r="O629">
        <v>6</v>
      </c>
      <c r="P629">
        <v>960</v>
      </c>
      <c r="Q629">
        <v>156.936597614563</v>
      </c>
      <c r="R629">
        <v>198.075714702478</v>
      </c>
      <c r="S629" t="s">
        <v>1288</v>
      </c>
      <c r="T629">
        <v>0</v>
      </c>
      <c r="U629">
        <v>0</v>
      </c>
      <c r="V629">
        <v>0</v>
      </c>
      <c r="W629">
        <v>130.80313000000001</v>
      </c>
      <c r="X629">
        <v>1.51430408968407</v>
      </c>
      <c r="Y629">
        <v>13.21331214904785</v>
      </c>
      <c r="Z629">
        <v>11.51511764526367</v>
      </c>
      <c r="AA629">
        <f t="shared" si="37"/>
        <v>-0.37373403897079621</v>
      </c>
      <c r="AB629">
        <f t="shared" si="38"/>
        <v>1.2093549608882397</v>
      </c>
      <c r="AC629" s="13">
        <f t="shared" si="39"/>
        <v>-0.30165109054288913</v>
      </c>
      <c r="AD629" s="13"/>
      <c r="AE629" s="13"/>
      <c r="AF629" s="13"/>
    </row>
    <row r="630" spans="1:32">
      <c r="A630" s="1" t="s">
        <v>1289</v>
      </c>
      <c r="B630">
        <v>768.67828931198619</v>
      </c>
      <c r="C630">
        <v>245.80987270129683</v>
      </c>
      <c r="D630">
        <v>139.45831333333334</v>
      </c>
      <c r="E630">
        <v>75.122803333333323</v>
      </c>
      <c r="F630">
        <v>-64.335509999999999</v>
      </c>
      <c r="G630">
        <v>0.42666666666666664</v>
      </c>
      <c r="H630">
        <v>11.885706698554182</v>
      </c>
      <c r="I630">
        <v>7.518090352124196E-2</v>
      </c>
      <c r="J630">
        <v>4.4898052361937626E-2</v>
      </c>
      <c r="K630">
        <v>2.4334693021846622E-197</v>
      </c>
      <c r="L630" t="e">
        <f t="shared" si="36"/>
        <v>#NUM!</v>
      </c>
      <c r="M630" t="s">
        <v>605</v>
      </c>
      <c r="N630">
        <v>335</v>
      </c>
      <c r="O630">
        <v>17</v>
      </c>
      <c r="P630">
        <v>1008</v>
      </c>
      <c r="Q630">
        <v>423.47970784882199</v>
      </c>
      <c r="R630">
        <v>534.49002380033699</v>
      </c>
      <c r="S630" t="s">
        <v>1290</v>
      </c>
      <c r="T630">
        <v>0</v>
      </c>
      <c r="U630">
        <v>0</v>
      </c>
      <c r="V630">
        <v>0</v>
      </c>
      <c r="AA630">
        <f t="shared" si="37"/>
        <v>-0.35948887465630969</v>
      </c>
      <c r="AB630">
        <f t="shared" si="38"/>
        <v>0.4300154207852131</v>
      </c>
      <c r="AC630" s="13">
        <f t="shared" si="39"/>
        <v>-4.304151339190903E-2</v>
      </c>
      <c r="AD630" s="13"/>
      <c r="AE630" s="13"/>
      <c r="AF630" s="13"/>
    </row>
    <row r="631" spans="1:32">
      <c r="A631" s="1" t="s">
        <v>1291</v>
      </c>
      <c r="B631">
        <v>1061.7425475996772</v>
      </c>
      <c r="C631">
        <v>191.38039632378803</v>
      </c>
      <c r="D631">
        <v>991.64780333333329</v>
      </c>
      <c r="E631">
        <v>899.28814666666665</v>
      </c>
      <c r="F631">
        <v>-92.359656666666751</v>
      </c>
      <c r="G631">
        <v>0.50747863247863245</v>
      </c>
      <c r="H631">
        <v>20.658930807550714</v>
      </c>
      <c r="I631">
        <v>0.10565363634723342</v>
      </c>
      <c r="J631">
        <v>3.791110454104088E-2</v>
      </c>
      <c r="K631">
        <v>0</v>
      </c>
      <c r="L631" t="e">
        <f t="shared" si="36"/>
        <v>#NUM!</v>
      </c>
      <c r="M631" t="s">
        <v>605</v>
      </c>
      <c r="N631">
        <v>322</v>
      </c>
      <c r="O631">
        <v>21</v>
      </c>
      <c r="P631">
        <v>969</v>
      </c>
      <c r="Q631">
        <v>544.17643754895096</v>
      </c>
      <c r="R631">
        <v>686.82600763707501</v>
      </c>
      <c r="S631" t="s">
        <v>1292</v>
      </c>
      <c r="T631">
        <v>0</v>
      </c>
      <c r="U631">
        <v>0</v>
      </c>
      <c r="V631">
        <v>0</v>
      </c>
      <c r="W631">
        <v>1637.86</v>
      </c>
      <c r="X631">
        <v>0.41934353829819099</v>
      </c>
      <c r="Y631">
        <v>9.0188350677490234</v>
      </c>
      <c r="Z631">
        <v>12.729170799255369</v>
      </c>
      <c r="AA631">
        <f t="shared" si="37"/>
        <v>-0.36133795182530704</v>
      </c>
      <c r="AB631">
        <f t="shared" si="38"/>
        <v>1.3333454018798083</v>
      </c>
      <c r="AC631" s="13">
        <f t="shared" si="39"/>
        <v>7.4062733661499194E-2</v>
      </c>
      <c r="AD631" s="13"/>
      <c r="AE631" s="13"/>
      <c r="AF631" s="13"/>
    </row>
    <row r="632" spans="1:32">
      <c r="A632" s="1" t="s">
        <v>1293</v>
      </c>
      <c r="B632">
        <v>830.50979371868516</v>
      </c>
      <c r="C632">
        <v>159.55171511111439</v>
      </c>
      <c r="D632">
        <v>0</v>
      </c>
      <c r="E632">
        <v>0</v>
      </c>
      <c r="F632">
        <v>0</v>
      </c>
      <c r="G632">
        <v>0.42901234567901236</v>
      </c>
      <c r="H632">
        <v>14.385202174290825</v>
      </c>
      <c r="I632">
        <v>17.130532145407194</v>
      </c>
      <c r="J632">
        <v>3.7711075219390491</v>
      </c>
      <c r="K632">
        <v>0</v>
      </c>
      <c r="L632" t="e">
        <f t="shared" si="36"/>
        <v>#NUM!</v>
      </c>
      <c r="M632" t="s">
        <v>605</v>
      </c>
      <c r="N632">
        <v>334</v>
      </c>
      <c r="O632">
        <v>18</v>
      </c>
      <c r="P632">
        <v>1005</v>
      </c>
      <c r="Q632">
        <v>449.72875734322702</v>
      </c>
      <c r="R632">
        <v>567.61995855038504</v>
      </c>
      <c r="S632" t="s">
        <v>1294</v>
      </c>
      <c r="T632">
        <v>0</v>
      </c>
      <c r="U632">
        <v>0</v>
      </c>
      <c r="V632">
        <v>0</v>
      </c>
      <c r="W632">
        <v>0</v>
      </c>
      <c r="X632" t="s">
        <v>56</v>
      </c>
      <c r="AA632">
        <f t="shared" si="37"/>
        <v>-0.3552439167594007</v>
      </c>
      <c r="AB632">
        <f t="shared" si="38"/>
        <v>0.68737453674896332</v>
      </c>
      <c r="AC632" s="13">
        <f t="shared" si="39"/>
        <v>-1.7573754782815067E-2</v>
      </c>
      <c r="AD632" s="13"/>
      <c r="AE632" s="13"/>
      <c r="AF632" s="13"/>
    </row>
    <row r="633" spans="1:32">
      <c r="A633" s="1" t="s">
        <v>1295</v>
      </c>
      <c r="B633">
        <v>120.85209725827474</v>
      </c>
      <c r="C633">
        <v>39.762781611490873</v>
      </c>
      <c r="D633">
        <v>294.38066700000002</v>
      </c>
      <c r="E633">
        <v>256.14578</v>
      </c>
      <c r="F633">
        <v>-38.234887000000015</v>
      </c>
      <c r="G633">
        <v>0.53118279569892479</v>
      </c>
      <c r="H633">
        <v>5.0421592742761666E-2</v>
      </c>
      <c r="I633">
        <v>24.397875677257733</v>
      </c>
      <c r="J633">
        <v>8.4808985020493335</v>
      </c>
      <c r="K633">
        <v>1</v>
      </c>
      <c r="L633" t="e">
        <f t="shared" si="36"/>
        <v>#NUM!</v>
      </c>
      <c r="M633" t="s">
        <v>605</v>
      </c>
      <c r="N633">
        <v>320</v>
      </c>
      <c r="O633">
        <v>24</v>
      </c>
      <c r="P633">
        <v>963</v>
      </c>
      <c r="Q633">
        <v>625.79079422629695</v>
      </c>
      <c r="R633">
        <v>789.83462560489704</v>
      </c>
      <c r="S633" t="s">
        <v>1296</v>
      </c>
      <c r="T633">
        <v>0</v>
      </c>
      <c r="U633">
        <v>0</v>
      </c>
      <c r="V633">
        <v>0</v>
      </c>
      <c r="W633">
        <v>477.71445</v>
      </c>
      <c r="X633">
        <v>1.6533613869224499</v>
      </c>
      <c r="Y633">
        <v>10.395121574401861</v>
      </c>
      <c r="Z633">
        <v>11.738107681274411</v>
      </c>
      <c r="AA633">
        <f t="shared" si="37"/>
        <v>-0.35776671459698794</v>
      </c>
      <c r="AB633">
        <f t="shared" si="38"/>
        <v>-0.78859791201663343</v>
      </c>
      <c r="AC633" s="13">
        <f t="shared" si="39"/>
        <v>0.15324787654974673</v>
      </c>
      <c r="AD633" s="13"/>
      <c r="AE633" s="13"/>
      <c r="AF633" s="13"/>
    </row>
    <row r="634" spans="1:32">
      <c r="A634" s="1" t="s">
        <v>1297</v>
      </c>
      <c r="B634">
        <v>158.98442258703395</v>
      </c>
      <c r="C634">
        <v>48.749904198971059</v>
      </c>
      <c r="D634">
        <v>110.84389333333336</v>
      </c>
      <c r="E634">
        <v>36.354895499999998</v>
      </c>
      <c r="F634">
        <v>-74.488997833333329</v>
      </c>
      <c r="G634">
        <v>0.48916408668730649</v>
      </c>
      <c r="H634">
        <v>0.40948345411938947</v>
      </c>
      <c r="I634">
        <v>2.3425901417405588</v>
      </c>
      <c r="J634">
        <v>1.2115479524515347</v>
      </c>
      <c r="K634">
        <v>1</v>
      </c>
      <c r="L634" t="e">
        <f t="shared" si="36"/>
        <v>#NUM!</v>
      </c>
      <c r="M634" t="s">
        <v>605</v>
      </c>
      <c r="N634">
        <v>333</v>
      </c>
      <c r="O634">
        <v>22</v>
      </c>
      <c r="P634">
        <v>1002</v>
      </c>
      <c r="Q634">
        <v>551.31419521283794</v>
      </c>
      <c r="R634">
        <v>695.83484606060097</v>
      </c>
      <c r="S634" t="s">
        <v>1298</v>
      </c>
      <c r="T634">
        <v>0</v>
      </c>
      <c r="U634">
        <v>0</v>
      </c>
      <c r="V634">
        <v>0</v>
      </c>
      <c r="W634">
        <v>90.993483999999995</v>
      </c>
      <c r="X634">
        <v>7.6470843347486399</v>
      </c>
      <c r="AA634">
        <f t="shared" si="37"/>
        <v>-0.36015881771511621</v>
      </c>
      <c r="AB634">
        <f t="shared" si="38"/>
        <v>-0.75162731370300639</v>
      </c>
      <c r="AC634" s="13">
        <f t="shared" si="39"/>
        <v>8.0988039251434218E-2</v>
      </c>
      <c r="AD634" s="13"/>
      <c r="AE634" s="13"/>
      <c r="AF634" s="13"/>
    </row>
    <row r="635" spans="1:32">
      <c r="A635" s="1" t="s">
        <v>1299</v>
      </c>
      <c r="B635">
        <v>1010.4989154539841</v>
      </c>
      <c r="C635">
        <v>266.76541618364303</v>
      </c>
      <c r="D635">
        <v>124.32602166666668</v>
      </c>
      <c r="E635">
        <v>37.121799333333335</v>
      </c>
      <c r="F635">
        <v>-87.204222333333334</v>
      </c>
      <c r="G635">
        <v>0.44660194174757284</v>
      </c>
      <c r="H635">
        <v>18.999232043949895</v>
      </c>
      <c r="I635">
        <v>9.9825770272701383E-2</v>
      </c>
      <c r="J635">
        <v>6.3034221867907053E-2</v>
      </c>
      <c r="K635">
        <v>0</v>
      </c>
      <c r="L635" t="e">
        <f t="shared" si="36"/>
        <v>#NUM!</v>
      </c>
      <c r="M635" t="s">
        <v>605</v>
      </c>
      <c r="N635">
        <v>319</v>
      </c>
      <c r="O635">
        <v>26</v>
      </c>
      <c r="P635">
        <v>960</v>
      </c>
      <c r="Q635">
        <v>680.05858966310905</v>
      </c>
      <c r="R635">
        <v>858.328097044071</v>
      </c>
      <c r="S635" t="s">
        <v>1300</v>
      </c>
      <c r="T635">
        <v>0</v>
      </c>
      <c r="U635">
        <v>0</v>
      </c>
      <c r="V635">
        <v>0</v>
      </c>
      <c r="W635">
        <v>34.122456</v>
      </c>
      <c r="X635">
        <v>25.154346950995301</v>
      </c>
      <c r="Y635">
        <v>12.42333889007568</v>
      </c>
      <c r="Z635">
        <v>13.42770195007324</v>
      </c>
      <c r="AA635">
        <f t="shared" si="37"/>
        <v>-0.36099778817874117</v>
      </c>
      <c r="AB635">
        <f t="shared" si="38"/>
        <v>1.1624554720068401</v>
      </c>
      <c r="AC635" s="13">
        <f t="shared" si="39"/>
        <v>0.2059004160151095</v>
      </c>
      <c r="AD635" s="13"/>
      <c r="AE635" s="13"/>
      <c r="AF635" s="13"/>
    </row>
    <row r="636" spans="1:32">
      <c r="A636" s="1" t="s">
        <v>1301</v>
      </c>
      <c r="B636">
        <v>937.47620491906355</v>
      </c>
      <c r="C636">
        <v>232.813095487167</v>
      </c>
      <c r="D636">
        <v>0</v>
      </c>
      <c r="E636">
        <v>0</v>
      </c>
      <c r="F636">
        <v>0</v>
      </c>
      <c r="G636">
        <v>0.44195953141640043</v>
      </c>
      <c r="H636">
        <v>18.210925486904468</v>
      </c>
      <c r="I636">
        <v>7.4518974384336731E-2</v>
      </c>
      <c r="J636">
        <v>4.5645684391518102E-2</v>
      </c>
      <c r="K636">
        <v>0</v>
      </c>
      <c r="L636" t="e">
        <f t="shared" si="36"/>
        <v>#NUM!</v>
      </c>
      <c r="M636" t="s">
        <v>605</v>
      </c>
      <c r="N636">
        <v>323</v>
      </c>
      <c r="O636">
        <v>17</v>
      </c>
      <c r="P636">
        <v>972</v>
      </c>
      <c r="Q636">
        <v>439.16414147285298</v>
      </c>
      <c r="R636">
        <v>554.28595060775694</v>
      </c>
      <c r="S636" t="s">
        <v>1302</v>
      </c>
      <c r="T636">
        <v>0</v>
      </c>
      <c r="U636">
        <v>0</v>
      </c>
      <c r="V636">
        <v>0</v>
      </c>
      <c r="W636">
        <v>0</v>
      </c>
      <c r="X636" t="s">
        <v>56</v>
      </c>
      <c r="Y636">
        <v>9.4476127624511719</v>
      </c>
      <c r="Z636">
        <v>12.29116821289062</v>
      </c>
      <c r="AA636">
        <f t="shared" si="37"/>
        <v>-0.3552439167594007</v>
      </c>
      <c r="AB636">
        <f t="shared" si="38"/>
        <v>1.081287940159299</v>
      </c>
      <c r="AC636" s="13">
        <f t="shared" si="39"/>
        <v>-2.7823919720857439E-2</v>
      </c>
      <c r="AD636" s="13"/>
      <c r="AE636" s="13"/>
      <c r="AF636" s="13"/>
    </row>
    <row r="637" spans="1:32">
      <c r="A637" s="1" t="s">
        <v>1303</v>
      </c>
      <c r="B637">
        <v>637.86766435298273</v>
      </c>
      <c r="C637">
        <v>182.1507727512635</v>
      </c>
      <c r="D637">
        <v>3155.4735000000001</v>
      </c>
      <c r="E637">
        <v>2760.6175000000003</v>
      </c>
      <c r="F637">
        <v>-394.85599999999999</v>
      </c>
      <c r="G637">
        <v>0.44195953141640043</v>
      </c>
      <c r="H637">
        <v>23.037757494649313</v>
      </c>
      <c r="I637">
        <v>1.8699710055652592</v>
      </c>
      <c r="J637">
        <v>0.70125741939116737</v>
      </c>
      <c r="K637">
        <v>0</v>
      </c>
      <c r="L637" t="e">
        <f t="shared" si="36"/>
        <v>#NUM!</v>
      </c>
      <c r="M637" t="s">
        <v>605</v>
      </c>
      <c r="N637">
        <v>323</v>
      </c>
      <c r="O637">
        <v>3</v>
      </c>
      <c r="P637">
        <v>972</v>
      </c>
      <c r="Q637">
        <v>77.499554377562305</v>
      </c>
      <c r="R637">
        <v>97.815167754310096</v>
      </c>
      <c r="S637" t="s">
        <v>1304</v>
      </c>
      <c r="T637">
        <v>2</v>
      </c>
      <c r="U637">
        <v>244.887963756581</v>
      </c>
      <c r="V637">
        <v>3.2508877188686101</v>
      </c>
      <c r="W637">
        <v>2890.1821</v>
      </c>
      <c r="X637">
        <v>3.3843946287782402E-2</v>
      </c>
      <c r="AA637">
        <f t="shared" si="37"/>
        <v>-0.38129713519727265</v>
      </c>
      <c r="AB637">
        <f t="shared" si="38"/>
        <v>1.5782799253328834</v>
      </c>
      <c r="AC637" s="13">
        <f t="shared" si="39"/>
        <v>-0.3787237267239178</v>
      </c>
      <c r="AD637" s="13"/>
      <c r="AE637" s="13"/>
      <c r="AF637" s="13"/>
    </row>
    <row r="638" spans="1:32">
      <c r="A638" s="1" t="s">
        <v>1305</v>
      </c>
      <c r="B638">
        <v>941.30972147703199</v>
      </c>
      <c r="C638">
        <v>117.123503231124</v>
      </c>
      <c r="D638">
        <v>300.39573999999999</v>
      </c>
      <c r="E638">
        <v>291.71208333333334</v>
      </c>
      <c r="F638">
        <v>-8.6836566666666499</v>
      </c>
      <c r="G638">
        <v>0.44747474747474747</v>
      </c>
      <c r="H638">
        <v>16.898008439800112</v>
      </c>
      <c r="I638">
        <v>9.2257644287278211</v>
      </c>
      <c r="J638">
        <v>2.8636296702340265</v>
      </c>
      <c r="K638">
        <v>0</v>
      </c>
      <c r="L638" t="e">
        <f t="shared" si="36"/>
        <v>#NUM!</v>
      </c>
      <c r="M638" t="s">
        <v>605</v>
      </c>
      <c r="N638">
        <v>340</v>
      </c>
      <c r="O638">
        <v>13</v>
      </c>
      <c r="P638">
        <v>1023</v>
      </c>
      <c r="Q638">
        <v>319.08907432873099</v>
      </c>
      <c r="R638">
        <v>402.73459098842</v>
      </c>
      <c r="S638" t="s">
        <v>1306</v>
      </c>
      <c r="T638">
        <v>1</v>
      </c>
      <c r="U638">
        <v>122.44398187829</v>
      </c>
      <c r="V638">
        <v>0.37510242910022501</v>
      </c>
      <c r="W638">
        <v>565.86566000000005</v>
      </c>
      <c r="X638">
        <v>0.71171413898560398</v>
      </c>
      <c r="Y638">
        <v>11.39273643493652</v>
      </c>
      <c r="Z638">
        <v>13.25689029693604</v>
      </c>
      <c r="AA638">
        <f t="shared" si="37"/>
        <v>-0.35581687805155826</v>
      </c>
      <c r="AB638">
        <f t="shared" si="38"/>
        <v>0.94610419053601458</v>
      </c>
      <c r="AC638" s="13">
        <f t="shared" si="39"/>
        <v>-0.14432500771831308</v>
      </c>
      <c r="AD638" s="13"/>
      <c r="AE638" s="13"/>
      <c r="AF638" s="13"/>
    </row>
    <row r="639" spans="1:32">
      <c r="A639" s="1" t="s">
        <v>1307</v>
      </c>
      <c r="B639">
        <v>816.4079431406517</v>
      </c>
      <c r="C639">
        <v>156.899103345132</v>
      </c>
      <c r="D639">
        <v>978.80324666666672</v>
      </c>
      <c r="E639">
        <v>689.76256999999998</v>
      </c>
      <c r="F639">
        <v>-289.04067666666668</v>
      </c>
      <c r="G639">
        <v>0.4391025641025641</v>
      </c>
      <c r="H639">
        <v>23.035713215612656</v>
      </c>
      <c r="I639">
        <v>1.2722998085291417</v>
      </c>
      <c r="J639">
        <v>0.72233470975336322</v>
      </c>
      <c r="K639">
        <v>0</v>
      </c>
      <c r="L639" t="e">
        <f t="shared" si="36"/>
        <v>#NUM!</v>
      </c>
      <c r="M639" t="s">
        <v>605</v>
      </c>
      <c r="N639">
        <v>322</v>
      </c>
      <c r="O639">
        <v>0</v>
      </c>
      <c r="P639">
        <v>969</v>
      </c>
      <c r="Q639">
        <v>0</v>
      </c>
      <c r="R639">
        <v>0</v>
      </c>
      <c r="S639" t="s">
        <v>1308</v>
      </c>
      <c r="T639">
        <v>0</v>
      </c>
      <c r="U639">
        <v>0</v>
      </c>
      <c r="W639">
        <v>823.20825000000002</v>
      </c>
      <c r="X639">
        <v>0</v>
      </c>
      <c r="AA639">
        <f t="shared" si="37"/>
        <v>-0.3743152741317769</v>
      </c>
      <c r="AB639">
        <f t="shared" si="38"/>
        <v>1.5780694373160959</v>
      </c>
      <c r="AC639" s="13">
        <f t="shared" si="39"/>
        <v>-0.45391654251028785</v>
      </c>
      <c r="AD639" s="13"/>
      <c r="AE639" s="13"/>
      <c r="AF639" s="13"/>
    </row>
    <row r="640" spans="1:32">
      <c r="A640" s="1" t="s">
        <v>1309</v>
      </c>
      <c r="B640">
        <v>447.89661776399038</v>
      </c>
      <c r="C640">
        <v>94.232406290436117</v>
      </c>
      <c r="D640">
        <v>240.95395399999998</v>
      </c>
      <c r="E640">
        <v>119.27814000000001</v>
      </c>
      <c r="F640">
        <v>-121.67581399999999</v>
      </c>
      <c r="G640">
        <v>0.44871794871794873</v>
      </c>
      <c r="H640">
        <v>15.982067350182694</v>
      </c>
      <c r="I640">
        <v>7.564237442346379E-2</v>
      </c>
      <c r="J640">
        <v>4.200509809834329E-2</v>
      </c>
      <c r="K640">
        <v>0</v>
      </c>
      <c r="L640" t="e">
        <f t="shared" si="36"/>
        <v>#NUM!</v>
      </c>
      <c r="M640" t="s">
        <v>605</v>
      </c>
      <c r="N640">
        <v>322</v>
      </c>
      <c r="O640">
        <v>0</v>
      </c>
      <c r="P640">
        <v>969</v>
      </c>
      <c r="Q640">
        <v>0</v>
      </c>
      <c r="R640">
        <v>0</v>
      </c>
      <c r="S640" t="s">
        <v>1310</v>
      </c>
      <c r="T640">
        <v>0</v>
      </c>
      <c r="U640">
        <v>0</v>
      </c>
      <c r="W640">
        <v>213.26505</v>
      </c>
      <c r="X640">
        <v>0</v>
      </c>
      <c r="AA640">
        <f t="shared" si="37"/>
        <v>-0.3632722778853501</v>
      </c>
      <c r="AB640">
        <f t="shared" si="38"/>
        <v>0.85179484235472203</v>
      </c>
      <c r="AC640" s="13">
        <f t="shared" si="39"/>
        <v>-0.45391654251028785</v>
      </c>
      <c r="AD640" s="13"/>
      <c r="AE640" s="13"/>
      <c r="AF640" s="13"/>
    </row>
    <row r="641" spans="1:32">
      <c r="A641" s="1" t="s">
        <v>1311</v>
      </c>
      <c r="B641">
        <v>838.57368571672987</v>
      </c>
      <c r="C641">
        <v>76.360773020706674</v>
      </c>
      <c r="D641">
        <v>1067.9497199999998</v>
      </c>
      <c r="E641">
        <v>379.91303799999997</v>
      </c>
      <c r="F641">
        <v>-688.03668199999993</v>
      </c>
      <c r="G641">
        <v>0.53541666666666665</v>
      </c>
      <c r="H641">
        <v>10.240483973356964</v>
      </c>
      <c r="I641">
        <v>8.0991241430122055E-2</v>
      </c>
      <c r="J641">
        <v>4.1569354276892623E-2</v>
      </c>
      <c r="K641">
        <v>0</v>
      </c>
      <c r="L641" t="e">
        <f t="shared" si="36"/>
        <v>#NUM!</v>
      </c>
      <c r="M641" t="s">
        <v>605</v>
      </c>
      <c r="N641">
        <v>330</v>
      </c>
      <c r="O641">
        <v>0</v>
      </c>
      <c r="P641">
        <v>993</v>
      </c>
      <c r="Q641">
        <v>0</v>
      </c>
      <c r="R641">
        <v>0</v>
      </c>
      <c r="S641" t="s">
        <v>1312</v>
      </c>
      <c r="T641">
        <v>0</v>
      </c>
      <c r="U641">
        <v>0</v>
      </c>
      <c r="W641">
        <v>790.51215000000002</v>
      </c>
      <c r="X641">
        <v>0</v>
      </c>
      <c r="AA641">
        <f t="shared" si="37"/>
        <v>-0.40064165661751261</v>
      </c>
      <c r="AB641">
        <f t="shared" si="38"/>
        <v>0.26061600789152056</v>
      </c>
      <c r="AC641" s="13">
        <f t="shared" si="39"/>
        <v>-0.45391654251028785</v>
      </c>
      <c r="AD641" s="13"/>
      <c r="AE641" s="13"/>
      <c r="AF641" s="13"/>
    </row>
    <row r="642" spans="1:32">
      <c r="A642" s="1" t="s">
        <v>1313</v>
      </c>
      <c r="B642">
        <v>995.3536935076794</v>
      </c>
      <c r="C642">
        <v>259.12166279124654</v>
      </c>
      <c r="D642">
        <v>519.88851333333332</v>
      </c>
      <c r="E642">
        <v>410.09609999999998</v>
      </c>
      <c r="F642">
        <v>-109.79241333333334</v>
      </c>
      <c r="G642">
        <v>0.50541125541125542</v>
      </c>
      <c r="H642">
        <v>20.74616230358572</v>
      </c>
      <c r="I642">
        <v>6.991866982189994E-2</v>
      </c>
      <c r="J642">
        <v>3.8911864174780139E-2</v>
      </c>
      <c r="K642">
        <v>0</v>
      </c>
      <c r="L642" t="e">
        <f t="shared" ref="L642:L705" si="40">LOG10(F642)</f>
        <v>#NUM!</v>
      </c>
      <c r="M642" t="s">
        <v>605</v>
      </c>
      <c r="N642">
        <v>318</v>
      </c>
      <c r="O642">
        <v>4</v>
      </c>
      <c r="P642">
        <v>957</v>
      </c>
      <c r="Q642">
        <v>104.95237458027199</v>
      </c>
      <c r="R642">
        <v>132.46442780520999</v>
      </c>
      <c r="S642" t="s">
        <v>1314</v>
      </c>
      <c r="T642">
        <v>0</v>
      </c>
      <c r="U642">
        <v>0</v>
      </c>
      <c r="V642">
        <v>0</v>
      </c>
      <c r="W642">
        <v>921.31615999999997</v>
      </c>
      <c r="X642">
        <v>0.14377738452477501</v>
      </c>
      <c r="Y642">
        <v>13.13605976104736</v>
      </c>
      <c r="Z642">
        <v>13.124929428100589</v>
      </c>
      <c r="AA642">
        <f t="shared" ref="AA642:AA705" si="41">(F642-AVERAGE(F:F))/_xlfn.STDEV.P(F:F)</f>
        <v>-0.36248819246344083</v>
      </c>
      <c r="AB642">
        <f t="shared" ref="AB642:AB705" si="42">(H642-AVERAGE(H:H))/_xlfn.STDEV.P(H:H)</f>
        <v>1.3423271427637953</v>
      </c>
      <c r="AC642" s="13">
        <f t="shared" ref="AC642:AC705" si="43">(Q642-AVERAGE(Q:Q))/_xlfn.STDEV.P(Q:Q)</f>
        <v>-0.35208802708799403</v>
      </c>
      <c r="AD642" s="13"/>
      <c r="AE642" s="13"/>
      <c r="AF642" s="13"/>
    </row>
    <row r="643" spans="1:32">
      <c r="A643" s="1" t="s">
        <v>1315</v>
      </c>
      <c r="B643">
        <v>1050.5167705114729</v>
      </c>
      <c r="C643">
        <v>294.53180984844704</v>
      </c>
      <c r="D643">
        <v>0</v>
      </c>
      <c r="E643">
        <v>0</v>
      </c>
      <c r="F643">
        <v>0</v>
      </c>
      <c r="G643">
        <v>0.41565040650406504</v>
      </c>
      <c r="H643">
        <v>20.535458043285587</v>
      </c>
      <c r="I643">
        <v>7.3842778095857833E-2</v>
      </c>
      <c r="J643">
        <v>4.1332071338734989E-2</v>
      </c>
      <c r="K643">
        <v>0</v>
      </c>
      <c r="L643" t="e">
        <f t="shared" si="40"/>
        <v>#NUM!</v>
      </c>
      <c r="M643" t="s">
        <v>605</v>
      </c>
      <c r="N643">
        <v>338</v>
      </c>
      <c r="O643">
        <v>6</v>
      </c>
      <c r="P643">
        <v>1017</v>
      </c>
      <c r="Q643">
        <v>148.14074111109201</v>
      </c>
      <c r="R643">
        <v>186.97412597284</v>
      </c>
      <c r="S643" t="s">
        <v>1316</v>
      </c>
      <c r="T643">
        <v>0</v>
      </c>
      <c r="U643">
        <v>0</v>
      </c>
      <c r="V643">
        <v>0</v>
      </c>
      <c r="W643">
        <v>0</v>
      </c>
      <c r="X643" t="s">
        <v>56</v>
      </c>
      <c r="Y643">
        <v>10.51053619384766</v>
      </c>
      <c r="Z643">
        <v>13.26862812042236</v>
      </c>
      <c r="AA643">
        <f t="shared" si="41"/>
        <v>-0.3552439167594007</v>
      </c>
      <c r="AB643">
        <f t="shared" si="42"/>
        <v>1.3206320996292777</v>
      </c>
      <c r="AC643" s="13">
        <f t="shared" si="43"/>
        <v>-0.31018514242306772</v>
      </c>
      <c r="AD643" s="13"/>
      <c r="AE643" s="13"/>
      <c r="AF643" s="13"/>
    </row>
    <row r="644" spans="1:32">
      <c r="A644" s="1" t="s">
        <v>1317</v>
      </c>
      <c r="B644">
        <v>863.37154500335748</v>
      </c>
      <c r="C644">
        <v>154.75463839960221</v>
      </c>
      <c r="D644">
        <v>0</v>
      </c>
      <c r="E644">
        <v>0</v>
      </c>
      <c r="F644">
        <v>0</v>
      </c>
      <c r="G644">
        <v>0.41798941798941802</v>
      </c>
      <c r="H644">
        <v>18.368671145604825</v>
      </c>
      <c r="I644">
        <v>8.5746019286521771E-2</v>
      </c>
      <c r="J644">
        <v>4.5486214557898044E-2</v>
      </c>
      <c r="K644">
        <v>0</v>
      </c>
      <c r="L644" t="e">
        <f t="shared" si="40"/>
        <v>#NUM!</v>
      </c>
      <c r="M644" t="s">
        <v>605</v>
      </c>
      <c r="N644">
        <v>325</v>
      </c>
      <c r="O644">
        <v>4</v>
      </c>
      <c r="P644">
        <v>978</v>
      </c>
      <c r="Q644">
        <v>102.69879598499</v>
      </c>
      <c r="R644">
        <v>129.620099600803</v>
      </c>
      <c r="S644" t="s">
        <v>1318</v>
      </c>
      <c r="T644">
        <v>0</v>
      </c>
      <c r="U644">
        <v>0</v>
      </c>
      <c r="V644">
        <v>0</v>
      </c>
      <c r="W644">
        <v>0</v>
      </c>
      <c r="X644" t="s">
        <v>56</v>
      </c>
      <c r="Y644">
        <v>12.87591075897217</v>
      </c>
      <c r="Z644">
        <v>13.23011302947998</v>
      </c>
      <c r="AA644">
        <f t="shared" si="41"/>
        <v>-0.3552439167594007</v>
      </c>
      <c r="AB644">
        <f t="shared" si="42"/>
        <v>1.0975301312992045</v>
      </c>
      <c r="AC644" s="13">
        <f t="shared" si="43"/>
        <v>-0.35427452895288997</v>
      </c>
      <c r="AD644" s="13"/>
      <c r="AE644" s="13"/>
      <c r="AF644" s="13"/>
    </row>
    <row r="645" spans="1:32">
      <c r="A645" s="1" t="s">
        <v>1319</v>
      </c>
      <c r="B645">
        <v>909.6769204592988</v>
      </c>
      <c r="C645">
        <v>242.0254727119468</v>
      </c>
      <c r="D645">
        <v>0</v>
      </c>
      <c r="E645">
        <v>0</v>
      </c>
      <c r="F645">
        <v>0</v>
      </c>
      <c r="G645">
        <v>0.42502696871628909</v>
      </c>
      <c r="H645">
        <v>24.859699547730159</v>
      </c>
      <c r="I645">
        <v>7.3713696119886166E-2</v>
      </c>
      <c r="J645">
        <v>3.289142148107646E-2</v>
      </c>
      <c r="K645">
        <v>0</v>
      </c>
      <c r="L645" t="e">
        <f t="shared" si="40"/>
        <v>#NUM!</v>
      </c>
      <c r="M645" t="s">
        <v>605</v>
      </c>
      <c r="N645">
        <v>319</v>
      </c>
      <c r="O645">
        <v>11</v>
      </c>
      <c r="P645">
        <v>960</v>
      </c>
      <c r="Q645">
        <v>287.71709562669997</v>
      </c>
      <c r="R645">
        <v>363.13881028787603</v>
      </c>
      <c r="S645" t="s">
        <v>1320</v>
      </c>
      <c r="T645">
        <v>0</v>
      </c>
      <c r="U645">
        <v>0</v>
      </c>
      <c r="V645">
        <v>0</v>
      </c>
      <c r="W645">
        <v>0</v>
      </c>
      <c r="X645" t="s">
        <v>56</v>
      </c>
      <c r="Y645">
        <v>12.935287475585939</v>
      </c>
      <c r="Z645">
        <v>13.53098773956299</v>
      </c>
      <c r="AA645">
        <f t="shared" si="41"/>
        <v>-0.3552439167594007</v>
      </c>
      <c r="AB645">
        <f t="shared" si="42"/>
        <v>1.7658751423155732</v>
      </c>
      <c r="AC645" s="13">
        <f t="shared" si="43"/>
        <v>-0.174763213903389</v>
      </c>
      <c r="AD645" s="13"/>
      <c r="AE645" s="13"/>
      <c r="AF645" s="13"/>
    </row>
    <row r="646" spans="1:32">
      <c r="A646" s="1" t="s">
        <v>1321</v>
      </c>
      <c r="B646">
        <v>868.04760140375345</v>
      </c>
      <c r="C646">
        <v>122.72853485911361</v>
      </c>
      <c r="D646">
        <v>0</v>
      </c>
      <c r="E646">
        <v>0</v>
      </c>
      <c r="F646">
        <v>0</v>
      </c>
      <c r="G646">
        <v>0.4357298474945534</v>
      </c>
      <c r="H646">
        <v>18.544505939055195</v>
      </c>
      <c r="I646">
        <v>8.5519350220451443E-2</v>
      </c>
      <c r="J646">
        <v>5.772895309257476E-2</v>
      </c>
      <c r="K646">
        <v>0</v>
      </c>
      <c r="L646" t="e">
        <f t="shared" si="40"/>
        <v>#NUM!</v>
      </c>
      <c r="M646" t="s">
        <v>605</v>
      </c>
      <c r="N646">
        <v>316</v>
      </c>
      <c r="O646">
        <v>5</v>
      </c>
      <c r="P646">
        <v>951</v>
      </c>
      <c r="Q646">
        <v>132.01816834032701</v>
      </c>
      <c r="R646">
        <v>166.625206900086</v>
      </c>
      <c r="S646" t="s">
        <v>1322</v>
      </c>
      <c r="T646">
        <v>0</v>
      </c>
      <c r="U646">
        <v>0</v>
      </c>
      <c r="V646">
        <v>0</v>
      </c>
      <c r="W646">
        <v>0</v>
      </c>
      <c r="X646" t="s">
        <v>56</v>
      </c>
      <c r="AA646">
        <f t="shared" si="41"/>
        <v>-0.3552439167594007</v>
      </c>
      <c r="AB646">
        <f t="shared" si="42"/>
        <v>1.1156348598083525</v>
      </c>
      <c r="AC646" s="13">
        <f t="shared" si="43"/>
        <v>-0.32582783423066686</v>
      </c>
      <c r="AD646" s="13"/>
      <c r="AE646" s="13"/>
      <c r="AF646" s="13"/>
    </row>
    <row r="647" spans="1:32">
      <c r="A647" s="1" t="s">
        <v>1323</v>
      </c>
      <c r="B647">
        <v>958.89272012853178</v>
      </c>
      <c r="C647">
        <v>146.07832444852608</v>
      </c>
      <c r="D647">
        <v>1240.7199716666667</v>
      </c>
      <c r="E647">
        <v>899.67350666666664</v>
      </c>
      <c r="F647">
        <v>-341.0464649999999</v>
      </c>
      <c r="G647">
        <v>0.46751863684771033</v>
      </c>
      <c r="H647">
        <v>17.470248738685029</v>
      </c>
      <c r="I647">
        <v>7.3012826890547555E-2</v>
      </c>
      <c r="J647">
        <v>3.8041544038877717E-2</v>
      </c>
      <c r="K647">
        <v>0</v>
      </c>
      <c r="L647" t="e">
        <f t="shared" si="40"/>
        <v>#NUM!</v>
      </c>
      <c r="M647" t="s">
        <v>605</v>
      </c>
      <c r="N647">
        <v>323</v>
      </c>
      <c r="O647">
        <v>2</v>
      </c>
      <c r="P647">
        <v>972</v>
      </c>
      <c r="Q647">
        <v>51.666369585041501</v>
      </c>
      <c r="R647">
        <v>65.210111836206707</v>
      </c>
      <c r="S647" t="s">
        <v>1324</v>
      </c>
      <c r="T647">
        <v>0</v>
      </c>
      <c r="U647">
        <v>0</v>
      </c>
      <c r="V647">
        <v>0</v>
      </c>
      <c r="W647">
        <v>1546.8693000000001</v>
      </c>
      <c r="X647">
        <v>4.2156187233276098E-2</v>
      </c>
      <c r="AA647">
        <f t="shared" si="41"/>
        <v>-0.37774669764688634</v>
      </c>
      <c r="AB647">
        <f t="shared" si="42"/>
        <v>1.0050245842192445</v>
      </c>
      <c r="AC647" s="13">
        <f t="shared" si="43"/>
        <v>-0.40378799865270787</v>
      </c>
      <c r="AD647" s="13"/>
      <c r="AE647" s="13"/>
      <c r="AF647" s="13"/>
    </row>
    <row r="648" spans="1:32">
      <c r="A648" s="1" t="s">
        <v>1325</v>
      </c>
      <c r="B648">
        <v>876.29133179058351</v>
      </c>
      <c r="C648">
        <v>206.93750949744515</v>
      </c>
      <c r="D648">
        <v>353.24862066666668</v>
      </c>
      <c r="E648">
        <v>335.20343000000003</v>
      </c>
      <c r="F648">
        <v>-18.045190666666656</v>
      </c>
      <c r="G648">
        <v>0.42948717948717952</v>
      </c>
      <c r="H648">
        <v>18.830808265177794</v>
      </c>
      <c r="I648">
        <v>7.8042532443673637E-2</v>
      </c>
      <c r="J648">
        <v>4.2170021077430592E-2</v>
      </c>
      <c r="K648">
        <v>0</v>
      </c>
      <c r="L648" t="e">
        <f t="shared" si="40"/>
        <v>#NUM!</v>
      </c>
      <c r="M648" t="s">
        <v>605</v>
      </c>
      <c r="N648">
        <v>322</v>
      </c>
      <c r="O648">
        <v>20</v>
      </c>
      <c r="P648">
        <v>969</v>
      </c>
      <c r="Q648">
        <v>518.263273856144</v>
      </c>
      <c r="R648">
        <v>654.12000727340501</v>
      </c>
      <c r="S648" t="s">
        <v>1326</v>
      </c>
      <c r="T648">
        <v>0</v>
      </c>
      <c r="U648">
        <v>0</v>
      </c>
      <c r="V648">
        <v>0</v>
      </c>
      <c r="W648">
        <v>315.6309</v>
      </c>
      <c r="X648">
        <v>2.0724206890814698</v>
      </c>
      <c r="Y648">
        <v>11.42296695709229</v>
      </c>
      <c r="Z648">
        <v>12.610806465148929</v>
      </c>
      <c r="AA648">
        <f t="shared" si="41"/>
        <v>-0.35643456675380808</v>
      </c>
      <c r="AB648">
        <f t="shared" si="42"/>
        <v>1.1451138143671968</v>
      </c>
      <c r="AC648" s="13">
        <f t="shared" si="43"/>
        <v>4.8920863367604796E-2</v>
      </c>
      <c r="AD648" s="13"/>
      <c r="AE648" s="13"/>
      <c r="AF648" s="13"/>
    </row>
    <row r="649" spans="1:32">
      <c r="A649" s="1" t="s">
        <v>1327</v>
      </c>
      <c r="B649">
        <v>1101.0981187580296</v>
      </c>
      <c r="C649">
        <v>149.57978338898616</v>
      </c>
      <c r="D649">
        <v>58702.271999999997</v>
      </c>
      <c r="E649">
        <v>51375.998666666674</v>
      </c>
      <c r="F649">
        <v>-7326.2733333333354</v>
      </c>
      <c r="G649">
        <v>0.46367521367521369</v>
      </c>
      <c r="H649">
        <v>18.155778227809904</v>
      </c>
      <c r="I649">
        <v>8.0994723014912215E-2</v>
      </c>
      <c r="J649">
        <v>3.0256424286492827E-2</v>
      </c>
      <c r="K649">
        <v>0</v>
      </c>
      <c r="L649" t="e">
        <f t="shared" si="40"/>
        <v>#NUM!</v>
      </c>
      <c r="M649" t="s">
        <v>605</v>
      </c>
      <c r="N649">
        <v>322</v>
      </c>
      <c r="O649">
        <v>0</v>
      </c>
      <c r="P649">
        <v>969</v>
      </c>
      <c r="Q649">
        <v>0</v>
      </c>
      <c r="R649">
        <v>0</v>
      </c>
      <c r="S649" t="s">
        <v>1328</v>
      </c>
      <c r="T649">
        <v>0</v>
      </c>
      <c r="U649">
        <v>0</v>
      </c>
      <c r="W649">
        <v>66634.34</v>
      </c>
      <c r="X649">
        <v>0</v>
      </c>
      <c r="Y649">
        <v>10.13279819488525</v>
      </c>
      <c r="Z649">
        <v>12.32498168945312</v>
      </c>
      <c r="AA649">
        <f t="shared" si="41"/>
        <v>-0.83864292675010499</v>
      </c>
      <c r="AB649">
        <f t="shared" si="42"/>
        <v>1.0756097343028879</v>
      </c>
      <c r="AC649" s="13">
        <f t="shared" si="43"/>
        <v>-0.45391654251028785</v>
      </c>
      <c r="AD649" s="13"/>
      <c r="AE649" s="13"/>
      <c r="AF649" s="13"/>
    </row>
    <row r="650" spans="1:32">
      <c r="A650" s="1" t="s">
        <v>1329</v>
      </c>
      <c r="B650">
        <v>1348.0423447146825</v>
      </c>
      <c r="C650">
        <v>243.16881530812384</v>
      </c>
      <c r="D650">
        <v>363.58983800000004</v>
      </c>
      <c r="E650">
        <v>315.33203333333336</v>
      </c>
      <c r="F650">
        <v>-48.257804666666665</v>
      </c>
      <c r="G650">
        <v>0.41295116772823781</v>
      </c>
      <c r="H650">
        <v>16.178537394538203</v>
      </c>
      <c r="I650">
        <v>8.4636659523834992E-2</v>
      </c>
      <c r="J650">
        <v>4.13387756076454E-2</v>
      </c>
      <c r="K650">
        <v>0</v>
      </c>
      <c r="L650" t="e">
        <f t="shared" si="40"/>
        <v>#NUM!</v>
      </c>
      <c r="M650" t="s">
        <v>605</v>
      </c>
      <c r="N650">
        <v>324</v>
      </c>
      <c r="O650">
        <v>34</v>
      </c>
      <c r="P650">
        <v>975</v>
      </c>
      <c r="Q650">
        <v>875.62573438279605</v>
      </c>
      <c r="R650">
        <v>1105.16091075023</v>
      </c>
      <c r="S650" t="s">
        <v>1330</v>
      </c>
      <c r="T650">
        <v>0</v>
      </c>
      <c r="U650">
        <v>0</v>
      </c>
      <c r="V650">
        <v>0</v>
      </c>
      <c r="W650">
        <v>500.46613000000002</v>
      </c>
      <c r="X650">
        <v>2.2082631460998901</v>
      </c>
      <c r="AA650">
        <f t="shared" si="41"/>
        <v>-0.3584280424313237</v>
      </c>
      <c r="AB650">
        <f t="shared" si="42"/>
        <v>0.87202426762055119</v>
      </c>
      <c r="AC650" s="13">
        <f t="shared" si="43"/>
        <v>0.395646594620638</v>
      </c>
      <c r="AD650" s="13"/>
      <c r="AE650" s="13"/>
      <c r="AF650" s="13"/>
    </row>
    <row r="651" spans="1:32">
      <c r="A651" s="1" t="s">
        <v>1331</v>
      </c>
      <c r="B651">
        <v>1052.2742225907782</v>
      </c>
      <c r="C651">
        <v>185.45933542019441</v>
      </c>
      <c r="D651">
        <v>178.21273333333332</v>
      </c>
      <c r="E651">
        <v>91.50045999999999</v>
      </c>
      <c r="F651">
        <v>-86.712273333333329</v>
      </c>
      <c r="G651">
        <v>0.42765273311897106</v>
      </c>
      <c r="H651">
        <v>19.309218428178898</v>
      </c>
      <c r="I651">
        <v>8.2954776701523375E-2</v>
      </c>
      <c r="J651">
        <v>4.629693689548002E-2</v>
      </c>
      <c r="K651">
        <v>0</v>
      </c>
      <c r="L651" t="e">
        <f t="shared" si="40"/>
        <v>#NUM!</v>
      </c>
      <c r="M651" t="s">
        <v>605</v>
      </c>
      <c r="N651">
        <v>321</v>
      </c>
      <c r="O651">
        <v>9</v>
      </c>
      <c r="P651">
        <v>966</v>
      </c>
      <c r="Q651">
        <v>233.94275420804499</v>
      </c>
      <c r="R651">
        <v>295.26814614033998</v>
      </c>
      <c r="S651" t="s">
        <v>1332</v>
      </c>
      <c r="T651">
        <v>0</v>
      </c>
      <c r="U651">
        <v>0</v>
      </c>
      <c r="V651">
        <v>0</v>
      </c>
      <c r="W651">
        <v>218.95247000000001</v>
      </c>
      <c r="X651">
        <v>1.3485490533189199</v>
      </c>
      <c r="Y651">
        <v>9.3826799392700195</v>
      </c>
      <c r="Z651">
        <v>12.860946655273439</v>
      </c>
      <c r="AA651">
        <f t="shared" si="41"/>
        <v>-0.36096532861181729</v>
      </c>
      <c r="AB651">
        <f t="shared" si="42"/>
        <v>1.1943730420046268</v>
      </c>
      <c r="AC651" s="13">
        <f t="shared" si="43"/>
        <v>-0.22693698678248769</v>
      </c>
      <c r="AD651" s="13"/>
      <c r="AE651" s="13"/>
      <c r="AF651" s="13"/>
    </row>
    <row r="652" spans="1:32">
      <c r="A652" s="1" t="s">
        <v>1333</v>
      </c>
      <c r="B652">
        <v>681.98159830838404</v>
      </c>
      <c r="C652">
        <v>138.86308122545378</v>
      </c>
      <c r="D652">
        <v>115.23535</v>
      </c>
      <c r="E652">
        <v>88.351906666666665</v>
      </c>
      <c r="F652">
        <v>-26.883443333333322</v>
      </c>
      <c r="G652">
        <v>0.43130990415335463</v>
      </c>
      <c r="H652">
        <v>18.100818642544354</v>
      </c>
      <c r="I652">
        <v>6.4021513354488566E-2</v>
      </c>
      <c r="J652">
        <v>2.8868744194957906E-2</v>
      </c>
      <c r="K652">
        <v>0</v>
      </c>
      <c r="L652" t="e">
        <f t="shared" si="40"/>
        <v>#NUM!</v>
      </c>
      <c r="M652" t="s">
        <v>605</v>
      </c>
      <c r="N652">
        <v>323</v>
      </c>
      <c r="O652">
        <v>0</v>
      </c>
      <c r="P652">
        <v>972</v>
      </c>
      <c r="Q652">
        <v>0</v>
      </c>
      <c r="R652">
        <v>0</v>
      </c>
      <c r="S652" t="s">
        <v>1334</v>
      </c>
      <c r="T652">
        <v>0</v>
      </c>
      <c r="U652">
        <v>0</v>
      </c>
      <c r="W652">
        <v>164.92549</v>
      </c>
      <c r="X652">
        <v>0</v>
      </c>
      <c r="Y652">
        <v>11.265373229980471</v>
      </c>
      <c r="Z652">
        <v>12.2018575668335</v>
      </c>
      <c r="AA652">
        <f t="shared" si="41"/>
        <v>-0.35701772853261798</v>
      </c>
      <c r="AB652">
        <f t="shared" si="42"/>
        <v>1.0699508521744825</v>
      </c>
      <c r="AC652" s="13">
        <f t="shared" si="43"/>
        <v>-0.45391654251028785</v>
      </c>
      <c r="AD652" s="13"/>
      <c r="AE652" s="13"/>
      <c r="AF652" s="13"/>
    </row>
    <row r="653" spans="1:32">
      <c r="A653" s="1" t="s">
        <v>1335</v>
      </c>
      <c r="B653">
        <v>748.93023843808385</v>
      </c>
      <c r="C653">
        <v>112.3883950742474</v>
      </c>
      <c r="D653">
        <v>67.069970999999995</v>
      </c>
      <c r="E653">
        <v>47.039909999999999</v>
      </c>
      <c r="F653">
        <v>-20.030061</v>
      </c>
      <c r="G653">
        <v>0.52263374485596703</v>
      </c>
      <c r="H653">
        <v>13.954509731472333</v>
      </c>
      <c r="I653">
        <v>1.288334632005713</v>
      </c>
      <c r="J653">
        <v>0.697103639445245</v>
      </c>
      <c r="K653">
        <v>0</v>
      </c>
      <c r="L653" t="e">
        <f t="shared" si="40"/>
        <v>#NUM!</v>
      </c>
      <c r="M653" t="s">
        <v>605</v>
      </c>
      <c r="N653">
        <v>334</v>
      </c>
      <c r="O653">
        <v>16</v>
      </c>
      <c r="P653">
        <v>1005</v>
      </c>
      <c r="Q653">
        <v>399.75889541620199</v>
      </c>
      <c r="R653">
        <v>504.55107426700903</v>
      </c>
      <c r="S653" t="s">
        <v>1336</v>
      </c>
      <c r="T653">
        <v>0</v>
      </c>
      <c r="U653">
        <v>0</v>
      </c>
      <c r="V653">
        <v>0</v>
      </c>
      <c r="W653">
        <v>96.680589999999995</v>
      </c>
      <c r="X653">
        <v>5.2187421928952702</v>
      </c>
      <c r="AA653">
        <f t="shared" si="41"/>
        <v>-0.3565655316128078</v>
      </c>
      <c r="AB653">
        <f t="shared" si="42"/>
        <v>0.64302853676135863</v>
      </c>
      <c r="AC653" s="13">
        <f t="shared" si="43"/>
        <v>-6.6056286752534069E-2</v>
      </c>
      <c r="AD653" s="13"/>
      <c r="AE653" s="13"/>
      <c r="AF653" s="13"/>
    </row>
    <row r="654" spans="1:32">
      <c r="A654" s="1" t="s">
        <v>1337</v>
      </c>
      <c r="B654">
        <v>1096.4214073321989</v>
      </c>
      <c r="C654">
        <v>239.40440415314094</v>
      </c>
      <c r="D654">
        <v>226.65953733333333</v>
      </c>
      <c r="E654">
        <v>182.93568999999999</v>
      </c>
      <c r="F654">
        <v>-43.723847333333346</v>
      </c>
      <c r="G654">
        <v>0.50524109014675056</v>
      </c>
      <c r="H654">
        <v>19.607958696519404</v>
      </c>
      <c r="I654">
        <v>7.1818436820721601E-2</v>
      </c>
      <c r="J654">
        <v>3.1272056997198629E-2</v>
      </c>
      <c r="K654">
        <v>0</v>
      </c>
      <c r="L654" t="e">
        <f t="shared" si="40"/>
        <v>#NUM!</v>
      </c>
      <c r="M654" t="s">
        <v>605</v>
      </c>
      <c r="N654">
        <v>328</v>
      </c>
      <c r="O654">
        <v>22</v>
      </c>
      <c r="P654">
        <v>987</v>
      </c>
      <c r="Q654">
        <v>559.69283039844402</v>
      </c>
      <c r="R654">
        <v>706.40984372109699</v>
      </c>
      <c r="S654" t="s">
        <v>1338</v>
      </c>
      <c r="T654">
        <v>0</v>
      </c>
      <c r="U654">
        <v>0</v>
      </c>
      <c r="V654">
        <v>0</v>
      </c>
      <c r="W654">
        <v>218.95090999999999</v>
      </c>
      <c r="X654">
        <v>3.2263389255659898</v>
      </c>
      <c r="Y654">
        <v>11.125016212463381</v>
      </c>
      <c r="Z654">
        <v>11.40316772460938</v>
      </c>
      <c r="AA654">
        <f t="shared" si="41"/>
        <v>-0.35812888481236055</v>
      </c>
      <c r="AB654">
        <f t="shared" si="42"/>
        <v>1.2251326621396572</v>
      </c>
      <c r="AC654" s="13">
        <f t="shared" si="43"/>
        <v>8.9117288214378934E-2</v>
      </c>
      <c r="AD654" s="13"/>
      <c r="AE654" s="13"/>
      <c r="AF654" s="13"/>
    </row>
    <row r="655" spans="1:32">
      <c r="A655" s="1" t="s">
        <v>1339</v>
      </c>
      <c r="B655">
        <v>706.71835091806167</v>
      </c>
      <c r="C655">
        <v>69.400926462895455</v>
      </c>
      <c r="D655">
        <v>0</v>
      </c>
      <c r="E655">
        <v>0</v>
      </c>
      <c r="F655">
        <v>0</v>
      </c>
      <c r="G655">
        <v>0.45808966861598444</v>
      </c>
      <c r="H655">
        <v>26.652365906097089</v>
      </c>
      <c r="I655">
        <v>7.8983941513579112E-2</v>
      </c>
      <c r="J655">
        <v>3.8915758647035142E-2</v>
      </c>
      <c r="K655">
        <v>0</v>
      </c>
      <c r="L655" t="e">
        <f t="shared" si="40"/>
        <v>#NUM!</v>
      </c>
      <c r="M655" t="s">
        <v>605</v>
      </c>
      <c r="N655">
        <v>352</v>
      </c>
      <c r="O655">
        <v>6</v>
      </c>
      <c r="P655">
        <v>1059</v>
      </c>
      <c r="Q655">
        <v>142.265470925383</v>
      </c>
      <c r="R655">
        <v>179.55872154332201</v>
      </c>
      <c r="S655" t="s">
        <v>1340</v>
      </c>
      <c r="T655">
        <v>0</v>
      </c>
      <c r="U655">
        <v>0</v>
      </c>
      <c r="V655">
        <v>0</v>
      </c>
      <c r="W655">
        <v>0</v>
      </c>
      <c r="X655" t="s">
        <v>56</v>
      </c>
      <c r="Y655">
        <v>12.31234550476074</v>
      </c>
      <c r="Z655">
        <v>11.773214340209959</v>
      </c>
      <c r="AA655">
        <f t="shared" si="41"/>
        <v>-0.3552439167594007</v>
      </c>
      <c r="AB655">
        <f t="shared" si="42"/>
        <v>1.9504560042078312</v>
      </c>
      <c r="AC655" s="13">
        <f t="shared" si="43"/>
        <v>-0.31588553789394891</v>
      </c>
      <c r="AD655" s="13"/>
      <c r="AE655" s="13"/>
      <c r="AF655" s="13"/>
    </row>
    <row r="656" spans="1:32">
      <c r="A656" s="1" t="s">
        <v>1341</v>
      </c>
      <c r="B656">
        <v>837.36395141979756</v>
      </c>
      <c r="C656">
        <v>99.920344657327306</v>
      </c>
      <c r="D656">
        <v>239.16323033333333</v>
      </c>
      <c r="E656">
        <v>177.83629699999997</v>
      </c>
      <c r="F656">
        <v>-61.326933333333329</v>
      </c>
      <c r="G656">
        <v>0.49679487179487181</v>
      </c>
      <c r="H656">
        <v>23.683527751562469</v>
      </c>
      <c r="I656">
        <v>7.2707179132363811E-2</v>
      </c>
      <c r="J656">
        <v>2.9336609743991649E-2</v>
      </c>
      <c r="K656">
        <v>0</v>
      </c>
      <c r="L656" t="e">
        <f t="shared" si="40"/>
        <v>#NUM!</v>
      </c>
      <c r="M656" t="s">
        <v>605</v>
      </c>
      <c r="N656">
        <v>322</v>
      </c>
      <c r="O656">
        <v>7</v>
      </c>
      <c r="P656">
        <v>969</v>
      </c>
      <c r="Q656">
        <v>181.39214584965001</v>
      </c>
      <c r="R656">
        <v>228.94200254569199</v>
      </c>
      <c r="S656" t="s">
        <v>1342</v>
      </c>
      <c r="T656">
        <v>0</v>
      </c>
      <c r="U656">
        <v>0</v>
      </c>
      <c r="V656">
        <v>0</v>
      </c>
      <c r="W656">
        <v>315.63162</v>
      </c>
      <c r="X656">
        <v>0.72534558655971104</v>
      </c>
      <c r="Y656">
        <v>11.715126991271971</v>
      </c>
      <c r="Z656">
        <v>12.80684280395508</v>
      </c>
      <c r="AA656">
        <f t="shared" si="41"/>
        <v>-0.35929036404716674</v>
      </c>
      <c r="AB656">
        <f t="shared" si="42"/>
        <v>1.6447712889093162</v>
      </c>
      <c r="AC656" s="13">
        <f t="shared" si="43"/>
        <v>-0.27792345045302586</v>
      </c>
      <c r="AD656" s="13"/>
      <c r="AE656" s="13"/>
      <c r="AF656" s="13"/>
    </row>
    <row r="657" spans="1:32">
      <c r="A657" s="1" t="s">
        <v>1343</v>
      </c>
      <c r="B657">
        <v>962.79328907510444</v>
      </c>
      <c r="C657">
        <v>94.635101697034656</v>
      </c>
      <c r="D657">
        <v>314.87870366666669</v>
      </c>
      <c r="E657">
        <v>156.52033066666667</v>
      </c>
      <c r="F657">
        <v>-158.35837300000003</v>
      </c>
      <c r="G657">
        <v>0.49386503067484661</v>
      </c>
      <c r="H657">
        <v>19.592154313992374</v>
      </c>
      <c r="I657">
        <v>7.7093375896743199E-2</v>
      </c>
      <c r="J657">
        <v>3.5283003188840992E-2</v>
      </c>
      <c r="K657">
        <v>0</v>
      </c>
      <c r="L657" t="e">
        <f t="shared" si="40"/>
        <v>#NUM!</v>
      </c>
      <c r="M657" t="s">
        <v>605</v>
      </c>
      <c r="N657">
        <v>336</v>
      </c>
      <c r="O657">
        <v>3</v>
      </c>
      <c r="P657">
        <v>1011</v>
      </c>
      <c r="Q657">
        <v>74.509957324421904</v>
      </c>
      <c r="R657">
        <v>94.041882351324901</v>
      </c>
      <c r="S657" t="s">
        <v>1344</v>
      </c>
      <c r="T657">
        <v>1</v>
      </c>
      <c r="U657">
        <v>122.44398187829</v>
      </c>
      <c r="V657">
        <v>1.6254438594342999</v>
      </c>
      <c r="W657">
        <v>358.28521999999998</v>
      </c>
      <c r="X657">
        <v>0.26247770519622499</v>
      </c>
      <c r="Y657">
        <v>9.1538877487182617</v>
      </c>
      <c r="Z657">
        <v>12.228787422180179</v>
      </c>
      <c r="AA657">
        <f t="shared" si="41"/>
        <v>-0.3656926506857815</v>
      </c>
      <c r="AB657">
        <f t="shared" si="42"/>
        <v>1.2235053729707057</v>
      </c>
      <c r="AC657" s="13">
        <f t="shared" si="43"/>
        <v>-0.38162433979579558</v>
      </c>
      <c r="AD657" s="13"/>
      <c r="AE657" s="13"/>
      <c r="AF657" s="13"/>
    </row>
    <row r="658" spans="1:32">
      <c r="A658" s="1" t="s">
        <v>1345</v>
      </c>
      <c r="B658">
        <v>697.59509964260417</v>
      </c>
      <c r="C658">
        <v>143.96725728208349</v>
      </c>
      <c r="D658">
        <v>22.753619999999998</v>
      </c>
      <c r="E658">
        <v>0</v>
      </c>
      <c r="F658">
        <v>-22.753619999999998</v>
      </c>
      <c r="G658">
        <v>0.53044375644994834</v>
      </c>
      <c r="H658">
        <v>20.05411467753034</v>
      </c>
      <c r="I658">
        <v>6.7748011031415686E-2</v>
      </c>
      <c r="J658">
        <v>3.4177073811253893E-2</v>
      </c>
      <c r="K658">
        <v>0</v>
      </c>
      <c r="L658" t="e">
        <f t="shared" si="40"/>
        <v>#NUM!</v>
      </c>
      <c r="M658" t="s">
        <v>605</v>
      </c>
      <c r="N658">
        <v>333</v>
      </c>
      <c r="O658">
        <v>4</v>
      </c>
      <c r="P658">
        <v>1002</v>
      </c>
      <c r="Q658">
        <v>100.23894458415199</v>
      </c>
      <c r="R658">
        <v>126.515426556473</v>
      </c>
      <c r="S658" t="s">
        <v>1346</v>
      </c>
      <c r="T658">
        <v>0</v>
      </c>
      <c r="U658">
        <v>0</v>
      </c>
      <c r="V658">
        <v>0</v>
      </c>
      <c r="W658">
        <v>0</v>
      </c>
      <c r="X658" t="s">
        <v>56</v>
      </c>
      <c r="Y658">
        <v>12.994106292724609</v>
      </c>
      <c r="Z658">
        <v>11.58459568023682</v>
      </c>
      <c r="AA658">
        <f t="shared" si="41"/>
        <v>-0.35674523630909061</v>
      </c>
      <c r="AB658">
        <f t="shared" si="42"/>
        <v>1.2710708564550817</v>
      </c>
      <c r="AC658" s="13">
        <f t="shared" si="43"/>
        <v>-0.35666116400815689</v>
      </c>
      <c r="AD658" s="13"/>
      <c r="AE658" s="13"/>
      <c r="AF658" s="13"/>
    </row>
    <row r="659" spans="1:32">
      <c r="A659" s="1" t="s">
        <v>1347</v>
      </c>
      <c r="B659">
        <v>1004.3284626120331</v>
      </c>
      <c r="C659">
        <v>149.95286519190466</v>
      </c>
      <c r="D659">
        <v>1.1555874333333334</v>
      </c>
      <c r="E659">
        <v>0.56870799999999999</v>
      </c>
      <c r="F659">
        <v>-0.58687943333333337</v>
      </c>
      <c r="G659">
        <v>0.46031746031746035</v>
      </c>
      <c r="H659">
        <v>20.141853239011994</v>
      </c>
      <c r="I659">
        <v>8.1613866991831205</v>
      </c>
      <c r="J659">
        <v>5.3906161862121245</v>
      </c>
      <c r="K659">
        <v>0</v>
      </c>
      <c r="L659" t="e">
        <f t="shared" si="40"/>
        <v>#NUM!</v>
      </c>
      <c r="M659" t="s">
        <v>605</v>
      </c>
      <c r="N659">
        <v>325</v>
      </c>
      <c r="O659">
        <v>2</v>
      </c>
      <c r="P659">
        <v>978</v>
      </c>
      <c r="Q659">
        <v>51.349397992495199</v>
      </c>
      <c r="R659">
        <v>64.810049800401799</v>
      </c>
      <c r="S659" t="s">
        <v>1348</v>
      </c>
      <c r="T659">
        <v>0</v>
      </c>
      <c r="U659">
        <v>0</v>
      </c>
      <c r="V659">
        <v>0</v>
      </c>
      <c r="W659">
        <v>1.706124</v>
      </c>
      <c r="X659">
        <v>37.986717143889798</v>
      </c>
      <c r="AA659">
        <f t="shared" si="41"/>
        <v>-0.35528263998526871</v>
      </c>
      <c r="AB659">
        <f t="shared" si="42"/>
        <v>1.2801048070415275</v>
      </c>
      <c r="AC659" s="13">
        <f t="shared" si="43"/>
        <v>-0.40409553573158874</v>
      </c>
      <c r="AD659" s="13"/>
      <c r="AE659" s="13"/>
      <c r="AF659" s="13"/>
    </row>
    <row r="660" spans="1:32">
      <c r="A660" s="1" t="s">
        <v>1349</v>
      </c>
      <c r="B660">
        <v>758.24614379315733</v>
      </c>
      <c r="C660">
        <v>292.69951684427707</v>
      </c>
      <c r="D660">
        <v>378.32333033333333</v>
      </c>
      <c r="E660">
        <v>119.63052666666665</v>
      </c>
      <c r="F660">
        <v>-258.69280366666663</v>
      </c>
      <c r="G660">
        <v>0.44337606837606836</v>
      </c>
      <c r="H660">
        <v>17.672494617815612</v>
      </c>
      <c r="I660">
        <v>8.0452987414281321E-2</v>
      </c>
      <c r="J660">
        <v>3.3640448454127482E-2</v>
      </c>
      <c r="K660">
        <v>0</v>
      </c>
      <c r="L660" t="e">
        <f t="shared" si="40"/>
        <v>#NUM!</v>
      </c>
      <c r="M660" t="s">
        <v>605</v>
      </c>
      <c r="N660">
        <v>322</v>
      </c>
      <c r="O660">
        <v>23</v>
      </c>
      <c r="P660">
        <v>969</v>
      </c>
      <c r="Q660">
        <v>596.00276493456602</v>
      </c>
      <c r="R660">
        <v>752.23800836441603</v>
      </c>
      <c r="S660" t="s">
        <v>1350</v>
      </c>
      <c r="T660">
        <v>0</v>
      </c>
      <c r="U660">
        <v>0</v>
      </c>
      <c r="V660">
        <v>0</v>
      </c>
      <c r="W660">
        <v>258.76134999999999</v>
      </c>
      <c r="X660">
        <v>2.90707251436281</v>
      </c>
      <c r="Y660">
        <v>11.41303539276123</v>
      </c>
      <c r="Z660">
        <v>12.240262031555179</v>
      </c>
      <c r="AA660">
        <f t="shared" si="41"/>
        <v>-0.37231287385321005</v>
      </c>
      <c r="AB660">
        <f t="shared" si="42"/>
        <v>1.0258487149950837</v>
      </c>
      <c r="AC660" s="13">
        <f t="shared" si="43"/>
        <v>0.1243464742492891</v>
      </c>
      <c r="AD660" s="13"/>
      <c r="AE660" s="13"/>
      <c r="AF660" s="13"/>
    </row>
    <row r="661" spans="1:32">
      <c r="A661" s="3" t="s">
        <v>1351</v>
      </c>
      <c r="B661">
        <v>103.82006063541444</v>
      </c>
      <c r="C661">
        <v>68.617741966291476</v>
      </c>
      <c r="D661">
        <v>0</v>
      </c>
      <c r="E661">
        <v>0</v>
      </c>
      <c r="F661">
        <v>0</v>
      </c>
      <c r="G661">
        <v>0.44372294372294374</v>
      </c>
      <c r="H661">
        <v>81.466772754583516</v>
      </c>
      <c r="I661">
        <v>7.9087670354913028E-2</v>
      </c>
      <c r="J661">
        <v>3.3574707502078263E-2</v>
      </c>
      <c r="K661">
        <v>5.3334904943807754E-30</v>
      </c>
      <c r="L661" t="e">
        <f t="shared" si="40"/>
        <v>#NUM!</v>
      </c>
      <c r="M661" t="s">
        <v>605</v>
      </c>
      <c r="N661">
        <v>318</v>
      </c>
      <c r="O661">
        <v>7</v>
      </c>
      <c r="P661">
        <v>957</v>
      </c>
      <c r="Q661">
        <v>183.66665551547601</v>
      </c>
      <c r="R661">
        <v>231.81274865911701</v>
      </c>
      <c r="S661" t="s">
        <v>1352</v>
      </c>
      <c r="T661">
        <v>0</v>
      </c>
      <c r="U661">
        <v>0</v>
      </c>
      <c r="V661">
        <v>0</v>
      </c>
      <c r="W661">
        <v>0</v>
      </c>
      <c r="X661" t="s">
        <v>56</v>
      </c>
      <c r="AA661">
        <f t="shared" si="41"/>
        <v>-0.3552439167594007</v>
      </c>
      <c r="AB661">
        <f t="shared" si="42"/>
        <v>7.5943899202899319</v>
      </c>
      <c r="AC661" s="13">
        <f t="shared" si="43"/>
        <v>-0.27571664052127365</v>
      </c>
      <c r="AD661" s="13"/>
      <c r="AE661" s="13"/>
      <c r="AF661" s="13"/>
    </row>
    <row r="662" spans="1:32">
      <c r="A662" s="1" t="s">
        <v>1353</v>
      </c>
      <c r="B662">
        <v>748.87556613238382</v>
      </c>
      <c r="C662">
        <v>265.00312322693867</v>
      </c>
      <c r="D662">
        <v>94.105180066666662</v>
      </c>
      <c r="E662">
        <v>43.600993333333328</v>
      </c>
      <c r="F662">
        <v>-50.504186733333334</v>
      </c>
      <c r="G662">
        <v>0.4391025641025641</v>
      </c>
      <c r="H662">
        <v>17.386209219015694</v>
      </c>
      <c r="I662">
        <v>8.3259779777399831E-2</v>
      </c>
      <c r="J662">
        <v>3.2776463528387499E-2</v>
      </c>
      <c r="K662">
        <v>0</v>
      </c>
      <c r="L662" t="e">
        <f t="shared" si="40"/>
        <v>#NUM!</v>
      </c>
      <c r="M662" t="s">
        <v>605</v>
      </c>
      <c r="N662">
        <v>322</v>
      </c>
      <c r="O662">
        <v>12</v>
      </c>
      <c r="P662">
        <v>969</v>
      </c>
      <c r="Q662">
        <v>310.95796431368598</v>
      </c>
      <c r="R662">
        <v>392.47200436404302</v>
      </c>
      <c r="S662" t="s">
        <v>1354</v>
      </c>
      <c r="T662">
        <v>0</v>
      </c>
      <c r="U662">
        <v>0</v>
      </c>
      <c r="V662">
        <v>0</v>
      </c>
      <c r="W662">
        <v>130.80297999999999</v>
      </c>
      <c r="X662">
        <v>3.0004821324716202</v>
      </c>
      <c r="Y662">
        <v>9.8739604949951172</v>
      </c>
      <c r="Z662">
        <v>12.6303596496582</v>
      </c>
      <c r="AA662">
        <f t="shared" si="41"/>
        <v>-0.3585762622448197</v>
      </c>
      <c r="AB662">
        <f t="shared" si="42"/>
        <v>0.99637150334829605</v>
      </c>
      <c r="AC662" s="13">
        <f t="shared" si="43"/>
        <v>-0.15221409898355268</v>
      </c>
      <c r="AD662" s="13"/>
      <c r="AE662" s="13"/>
      <c r="AF662" s="13"/>
    </row>
    <row r="663" spans="1:32">
      <c r="A663" s="1" t="s">
        <v>1355</v>
      </c>
      <c r="B663">
        <v>901.69564243280968</v>
      </c>
      <c r="C663">
        <v>76.056342537443399</v>
      </c>
      <c r="D663">
        <v>306.91185353333333</v>
      </c>
      <c r="E663">
        <v>232.07310666666669</v>
      </c>
      <c r="F663">
        <v>-74.838746866666654</v>
      </c>
      <c r="G663">
        <v>0.46381243628950053</v>
      </c>
      <c r="H663">
        <v>15.816022472759878</v>
      </c>
      <c r="I663">
        <v>7.1677675378611153E-2</v>
      </c>
      <c r="J663">
        <v>4.6555792337078933E-2</v>
      </c>
      <c r="K663">
        <v>0</v>
      </c>
      <c r="L663" t="e">
        <f t="shared" si="40"/>
        <v>#NUM!</v>
      </c>
      <c r="M663" t="s">
        <v>605</v>
      </c>
      <c r="N663">
        <v>337</v>
      </c>
      <c r="O663">
        <v>24</v>
      </c>
      <c r="P663">
        <v>1014</v>
      </c>
      <c r="Q663">
        <v>594.31610930959005</v>
      </c>
      <c r="R663">
        <v>750.10921544133703</v>
      </c>
      <c r="S663" t="s">
        <v>1356</v>
      </c>
      <c r="T663">
        <v>0</v>
      </c>
      <c r="U663">
        <v>0</v>
      </c>
      <c r="V663">
        <v>0</v>
      </c>
      <c r="W663">
        <v>551.64966000000004</v>
      </c>
      <c r="X663">
        <v>1.35975650821816</v>
      </c>
      <c r="Y663">
        <v>11.215968132019039</v>
      </c>
      <c r="Z663">
        <v>12.787989616394039</v>
      </c>
      <c r="AA663">
        <f t="shared" si="41"/>
        <v>-0.3601818947051173</v>
      </c>
      <c r="AB663">
        <f t="shared" si="42"/>
        <v>0.83469812692608092</v>
      </c>
      <c r="AC663" s="13">
        <f t="shared" si="43"/>
        <v>0.12271002115323645</v>
      </c>
      <c r="AD663" s="13"/>
      <c r="AE663" s="13"/>
      <c r="AF663" s="13"/>
    </row>
    <row r="664" spans="1:32">
      <c r="A664" s="1" t="s">
        <v>1357</v>
      </c>
      <c r="B664">
        <v>441.36382454492787</v>
      </c>
      <c r="C664">
        <v>133.1978012587785</v>
      </c>
      <c r="D664">
        <v>0</v>
      </c>
      <c r="E664">
        <v>0</v>
      </c>
      <c r="F664">
        <v>0</v>
      </c>
      <c r="G664">
        <v>0.51910828025477707</v>
      </c>
      <c r="H664">
        <v>2.4439460136556845</v>
      </c>
      <c r="I664">
        <v>7.4871516355253478E-2</v>
      </c>
      <c r="J664">
        <v>3.1654617273418249E-2</v>
      </c>
      <c r="K664">
        <v>3.6278963720000253E-48</v>
      </c>
      <c r="L664" t="e">
        <f t="shared" si="40"/>
        <v>#NUM!</v>
      </c>
      <c r="M664" t="s">
        <v>605</v>
      </c>
      <c r="N664">
        <v>324</v>
      </c>
      <c r="O664">
        <v>72</v>
      </c>
      <c r="P664">
        <v>975</v>
      </c>
      <c r="Q664">
        <v>1854.2662610459199</v>
      </c>
      <c r="R664">
        <v>2340.34075217697</v>
      </c>
      <c r="S664" t="s">
        <v>1358</v>
      </c>
      <c r="T664">
        <v>0</v>
      </c>
      <c r="U664">
        <v>0</v>
      </c>
      <c r="V664">
        <v>0</v>
      </c>
      <c r="W664">
        <v>0</v>
      </c>
      <c r="X664" t="s">
        <v>56</v>
      </c>
      <c r="AA664">
        <f t="shared" si="41"/>
        <v>-0.3552439167594007</v>
      </c>
      <c r="AB664">
        <f t="shared" si="42"/>
        <v>-0.54215004484365803</v>
      </c>
      <c r="AC664" s="13">
        <f t="shared" si="43"/>
        <v>1.3451583361199071</v>
      </c>
      <c r="AD664" s="13"/>
      <c r="AE664" s="13"/>
      <c r="AF664" s="13"/>
    </row>
    <row r="665" spans="1:32">
      <c r="A665" s="1" t="s">
        <v>1359</v>
      </c>
      <c r="B665">
        <v>795.92443723917586</v>
      </c>
      <c r="C665">
        <v>226.5882783639608</v>
      </c>
      <c r="D665">
        <v>1070.3423639999999</v>
      </c>
      <c r="E665">
        <v>1003.2106533333334</v>
      </c>
      <c r="F665">
        <v>-67.131710666666621</v>
      </c>
      <c r="G665">
        <v>0.46728971962616822</v>
      </c>
      <c r="H665">
        <v>18.634725401886612</v>
      </c>
      <c r="I665">
        <v>2.1168539338171084</v>
      </c>
      <c r="J665">
        <v>1.2144137940545476</v>
      </c>
      <c r="K665">
        <v>0</v>
      </c>
      <c r="L665" t="e">
        <f t="shared" si="40"/>
        <v>#NUM!</v>
      </c>
      <c r="M665" t="s">
        <v>605</v>
      </c>
      <c r="N665">
        <v>331</v>
      </c>
      <c r="O665">
        <v>3</v>
      </c>
      <c r="P665">
        <v>996</v>
      </c>
      <c r="Q665">
        <v>75.632095235934301</v>
      </c>
      <c r="R665">
        <v>95.458175760230404</v>
      </c>
      <c r="S665" t="s">
        <v>1360</v>
      </c>
      <c r="T665">
        <v>0</v>
      </c>
      <c r="U665">
        <v>0</v>
      </c>
      <c r="V665">
        <v>0</v>
      </c>
      <c r="W665">
        <v>1609.3756000000001</v>
      </c>
      <c r="X665">
        <v>5.9313795834999801E-2</v>
      </c>
      <c r="Y665">
        <v>11.698208808898929</v>
      </c>
      <c r="Z665">
        <v>12.727169990539551</v>
      </c>
      <c r="AA665">
        <f t="shared" si="41"/>
        <v>-0.3596733723637392</v>
      </c>
      <c r="AB665">
        <f t="shared" si="42"/>
        <v>1.1249242549772616</v>
      </c>
      <c r="AC665" s="13">
        <f t="shared" si="43"/>
        <v>-0.38053560180310742</v>
      </c>
      <c r="AD665" s="13"/>
      <c r="AE665" s="13"/>
      <c r="AF665" s="13"/>
    </row>
    <row r="666" spans="1:32">
      <c r="A666" s="1" t="s">
        <v>1361</v>
      </c>
      <c r="B666">
        <v>1085.1969804724849</v>
      </c>
      <c r="C666">
        <v>44.532504646155871</v>
      </c>
      <c r="D666">
        <v>245.50177033333333</v>
      </c>
      <c r="E666">
        <v>190.76034000000001</v>
      </c>
      <c r="F666">
        <v>-54.741430333333334</v>
      </c>
      <c r="G666">
        <v>0.46308016877637126</v>
      </c>
      <c r="H666">
        <v>22.99982927407936</v>
      </c>
      <c r="I666">
        <v>7.5433963260591541E-2</v>
      </c>
      <c r="J666">
        <v>3.9812645006932858E-2</v>
      </c>
      <c r="K666">
        <v>0</v>
      </c>
      <c r="L666" t="e">
        <f t="shared" si="40"/>
        <v>#NUM!</v>
      </c>
      <c r="M666" t="s">
        <v>605</v>
      </c>
      <c r="N666">
        <v>326</v>
      </c>
      <c r="O666">
        <v>5</v>
      </c>
      <c r="P666">
        <v>981</v>
      </c>
      <c r="Q666">
        <v>127.98091548588199</v>
      </c>
      <c r="R666">
        <v>161.529634823631</v>
      </c>
      <c r="S666" t="s">
        <v>1362</v>
      </c>
      <c r="T666">
        <v>0</v>
      </c>
      <c r="U666">
        <v>0</v>
      </c>
      <c r="V666">
        <v>0</v>
      </c>
      <c r="W666">
        <v>363.97208000000001</v>
      </c>
      <c r="X666">
        <v>0.44379677370756399</v>
      </c>
      <c r="AA666">
        <f t="shared" si="41"/>
        <v>-0.35885584222609207</v>
      </c>
      <c r="AB666">
        <f t="shared" si="42"/>
        <v>1.5743746678876447</v>
      </c>
      <c r="AC666" s="13">
        <f t="shared" si="43"/>
        <v>-0.32974492011077833</v>
      </c>
      <c r="AD666" s="13"/>
      <c r="AE666" s="13"/>
      <c r="AF666" s="13"/>
    </row>
    <row r="667" spans="1:32">
      <c r="A667" s="4" t="s">
        <v>1363</v>
      </c>
      <c r="B667">
        <v>1114.1424007318294</v>
      </c>
      <c r="C667">
        <v>823.8549916275789</v>
      </c>
      <c r="D667">
        <v>11.743848</v>
      </c>
      <c r="E667">
        <v>0</v>
      </c>
      <c r="F667">
        <v>-11.743848</v>
      </c>
      <c r="G667">
        <v>0.38196555217831818</v>
      </c>
      <c r="H667">
        <v>13.429174810156061</v>
      </c>
      <c r="I667">
        <v>6.8054491706706355E-2</v>
      </c>
      <c r="J667">
        <v>4.4904591771212081E-2</v>
      </c>
      <c r="K667">
        <v>2.4297174568568896E-244</v>
      </c>
      <c r="L667" t="e">
        <f t="shared" si="40"/>
        <v>#NUM!</v>
      </c>
      <c r="M667" t="s">
        <v>605</v>
      </c>
      <c r="N667">
        <v>339</v>
      </c>
      <c r="O667">
        <v>5</v>
      </c>
      <c r="P667">
        <v>1020</v>
      </c>
      <c r="Q667">
        <v>123.087527540834</v>
      </c>
      <c r="R667">
        <v>155.35350172743301</v>
      </c>
      <c r="S667" t="s">
        <v>1364</v>
      </c>
      <c r="T667">
        <v>0</v>
      </c>
      <c r="U667">
        <v>0</v>
      </c>
      <c r="V667">
        <v>0</v>
      </c>
      <c r="W667">
        <v>0</v>
      </c>
      <c r="X667" t="s">
        <v>56</v>
      </c>
      <c r="AA667">
        <f t="shared" si="41"/>
        <v>-0.35601879427739502</v>
      </c>
      <c r="AB667">
        <f t="shared" si="42"/>
        <v>0.58893772833731195</v>
      </c>
      <c r="AC667" s="13">
        <f t="shared" si="43"/>
        <v>-0.33449265861428856</v>
      </c>
      <c r="AD667" s="13"/>
      <c r="AE667" s="13"/>
      <c r="AF667" s="13"/>
    </row>
    <row r="668" spans="1:32">
      <c r="A668" s="1" t="s">
        <v>1365</v>
      </c>
      <c r="B668">
        <v>1064.1349648802334</v>
      </c>
      <c r="C668">
        <v>199.51102223320154</v>
      </c>
      <c r="D668">
        <v>457.43248006666664</v>
      </c>
      <c r="E668">
        <v>331.77557833333333</v>
      </c>
      <c r="F668">
        <v>-125.6569017333333</v>
      </c>
      <c r="G668">
        <v>0.4145299145299145</v>
      </c>
      <c r="H668">
        <v>17.239905800245182</v>
      </c>
      <c r="I668">
        <v>6.8107984147483508E-2</v>
      </c>
      <c r="J668">
        <v>3.2622835490910988E-2</v>
      </c>
      <c r="K668">
        <v>0</v>
      </c>
      <c r="L668" t="e">
        <f t="shared" si="40"/>
        <v>#NUM!</v>
      </c>
      <c r="M668" t="s">
        <v>605</v>
      </c>
      <c r="N668">
        <v>322</v>
      </c>
      <c r="O668">
        <v>17</v>
      </c>
      <c r="P668">
        <v>969</v>
      </c>
      <c r="Q668">
        <v>440.52378277772198</v>
      </c>
      <c r="R668">
        <v>556.00200618239398</v>
      </c>
      <c r="S668" t="s">
        <v>1366</v>
      </c>
      <c r="T668">
        <v>0</v>
      </c>
      <c r="U668">
        <v>0</v>
      </c>
      <c r="V668">
        <v>0</v>
      </c>
      <c r="W668">
        <v>497.61862000000002</v>
      </c>
      <c r="X668">
        <v>1.1173255658769199</v>
      </c>
      <c r="AA668">
        <f t="shared" si="41"/>
        <v>-0.36353495630061256</v>
      </c>
      <c r="AB668">
        <f t="shared" si="42"/>
        <v>0.98130745587041202</v>
      </c>
      <c r="AC668" s="13">
        <f t="shared" si="43"/>
        <v>-2.6504747514079514E-2</v>
      </c>
      <c r="AD668" s="13"/>
      <c r="AE668" s="13"/>
      <c r="AF668" s="13"/>
    </row>
    <row r="669" spans="1:32">
      <c r="A669" s="1" t="s">
        <v>1367</v>
      </c>
      <c r="B669">
        <v>891.29048041942724</v>
      </c>
      <c r="C669">
        <v>134.69946926959025</v>
      </c>
      <c r="D669">
        <v>65.830470333333338</v>
      </c>
      <c r="E669">
        <v>0</v>
      </c>
      <c r="F669">
        <v>-65.830470333333338</v>
      </c>
      <c r="G669">
        <v>0.37820512820512819</v>
      </c>
      <c r="H669">
        <v>20.000170670139127</v>
      </c>
      <c r="I669">
        <v>8.7533597523804907E-2</v>
      </c>
      <c r="J669">
        <v>5.2548132360355354E-2</v>
      </c>
      <c r="K669">
        <v>0</v>
      </c>
      <c r="L669" t="e">
        <f t="shared" si="40"/>
        <v>#NUM!</v>
      </c>
      <c r="M669" t="s">
        <v>605</v>
      </c>
      <c r="N669">
        <v>322</v>
      </c>
      <c r="O669">
        <v>3</v>
      </c>
      <c r="P669">
        <v>969</v>
      </c>
      <c r="Q669">
        <v>77.739491078421594</v>
      </c>
      <c r="R669">
        <v>98.118001091010797</v>
      </c>
      <c r="S669" t="s">
        <v>1368</v>
      </c>
      <c r="T669">
        <v>0</v>
      </c>
      <c r="U669">
        <v>0</v>
      </c>
      <c r="V669">
        <v>0</v>
      </c>
      <c r="W669">
        <v>0</v>
      </c>
      <c r="X669" t="s">
        <v>56</v>
      </c>
      <c r="Y669">
        <v>11.808865547180179</v>
      </c>
      <c r="Z669">
        <v>12.30547523498535</v>
      </c>
      <c r="AA669">
        <f t="shared" si="41"/>
        <v>-0.35958751448480486</v>
      </c>
      <c r="AB669">
        <f t="shared" si="42"/>
        <v>1.2655165427191655</v>
      </c>
      <c r="AC669" s="13">
        <f t="shared" si="43"/>
        <v>-0.37849093162860403</v>
      </c>
      <c r="AD669" s="13"/>
      <c r="AE669" s="13"/>
      <c r="AF669" s="13"/>
    </row>
    <row r="670" spans="1:32">
      <c r="A670" s="3" t="s">
        <v>1369</v>
      </c>
      <c r="B670">
        <v>175.1238661098331</v>
      </c>
      <c r="C670">
        <v>75.405008601503241</v>
      </c>
      <c r="D670">
        <v>310.85632666666669</v>
      </c>
      <c r="E670">
        <v>174.00645666666665</v>
      </c>
      <c r="F670">
        <v>-136.84987000000001</v>
      </c>
      <c r="G670">
        <v>0.45110410094637221</v>
      </c>
      <c r="H670">
        <v>25.090389694139745</v>
      </c>
      <c r="I670">
        <v>6.4111783688382926E-2</v>
      </c>
      <c r="J670">
        <v>1.6395532929054695E-2</v>
      </c>
      <c r="K670">
        <v>4.4675488421063705E-167</v>
      </c>
      <c r="L670" t="e">
        <f t="shared" si="40"/>
        <v>#NUM!</v>
      </c>
      <c r="M670" t="s">
        <v>605</v>
      </c>
      <c r="N670">
        <v>327</v>
      </c>
      <c r="O670">
        <v>1</v>
      </c>
      <c r="P670">
        <v>984</v>
      </c>
      <c r="Q670">
        <v>25.518145953587599</v>
      </c>
      <c r="R670">
        <v>32.207433284955798</v>
      </c>
      <c r="S670" t="s">
        <v>1370</v>
      </c>
      <c r="T670">
        <v>0</v>
      </c>
      <c r="U670">
        <v>0</v>
      </c>
      <c r="V670">
        <v>0</v>
      </c>
      <c r="W670">
        <v>264.4479</v>
      </c>
      <c r="X670">
        <v>0.12179122346955901</v>
      </c>
      <c r="AA670">
        <f t="shared" si="41"/>
        <v>-0.36427348590943104</v>
      </c>
      <c r="AB670">
        <f t="shared" si="42"/>
        <v>1.7896280207335755</v>
      </c>
      <c r="AC670" s="13">
        <f t="shared" si="43"/>
        <v>-0.42915793243428796</v>
      </c>
      <c r="AD670" s="13"/>
      <c r="AE670" s="13"/>
      <c r="AF670" s="13"/>
    </row>
    <row r="671" spans="1:32">
      <c r="A671" s="1" t="s">
        <v>1371</v>
      </c>
      <c r="B671">
        <v>969.63161281245596</v>
      </c>
      <c r="C671">
        <v>112.45338976824141</v>
      </c>
      <c r="D671">
        <v>809.69900999999993</v>
      </c>
      <c r="E671">
        <v>593.19928999999991</v>
      </c>
      <c r="F671">
        <v>-216.49972000000005</v>
      </c>
      <c r="G671">
        <v>0.49631966351209256</v>
      </c>
      <c r="H671">
        <v>19.201358650785803</v>
      </c>
      <c r="I671">
        <v>0.38806274555547593</v>
      </c>
      <c r="J671">
        <v>0.12135988430870308</v>
      </c>
      <c r="K671">
        <v>0</v>
      </c>
      <c r="L671" t="e">
        <f t="shared" si="40"/>
        <v>#NUM!</v>
      </c>
      <c r="M671" t="s">
        <v>605</v>
      </c>
      <c r="N671">
        <v>327</v>
      </c>
      <c r="O671">
        <v>18</v>
      </c>
      <c r="P671">
        <v>984</v>
      </c>
      <c r="Q671">
        <v>459.326627164576</v>
      </c>
      <c r="R671">
        <v>579.73379912920404</v>
      </c>
      <c r="S671" t="s">
        <v>1372</v>
      </c>
      <c r="T671">
        <v>0</v>
      </c>
      <c r="U671">
        <v>0</v>
      </c>
      <c r="V671">
        <v>0</v>
      </c>
      <c r="W671">
        <v>901.40509999999995</v>
      </c>
      <c r="X671">
        <v>0.64314457409793202</v>
      </c>
      <c r="Y671">
        <v>9.7101173400878906</v>
      </c>
      <c r="Z671">
        <v>11.94707679748535</v>
      </c>
      <c r="AA671">
        <f t="shared" si="41"/>
        <v>-0.36952890798885679</v>
      </c>
      <c r="AB671">
        <f t="shared" si="42"/>
        <v>1.1832673219793675</v>
      </c>
      <c r="AC671" s="13">
        <f t="shared" si="43"/>
        <v>-8.2615611422900987E-3</v>
      </c>
      <c r="AD671" s="13"/>
      <c r="AE671" s="13"/>
      <c r="AF671" s="13"/>
    </row>
    <row r="672" spans="1:32">
      <c r="A672" s="1" t="s">
        <v>1373</v>
      </c>
      <c r="B672">
        <v>926.14579688664674</v>
      </c>
      <c r="C672">
        <v>115.07938553123044</v>
      </c>
      <c r="D672">
        <v>411.03443333333331</v>
      </c>
      <c r="E672">
        <v>290.16680333333335</v>
      </c>
      <c r="F672">
        <v>-120.86762999999996</v>
      </c>
      <c r="G672">
        <v>0.47487179487179487</v>
      </c>
      <c r="H672">
        <v>19.312348124503135</v>
      </c>
      <c r="I672">
        <v>0.7084454007546036</v>
      </c>
      <c r="J672">
        <v>0.18587237673045351</v>
      </c>
      <c r="K672">
        <v>0</v>
      </c>
      <c r="L672" t="e">
        <f t="shared" si="40"/>
        <v>#NUM!</v>
      </c>
      <c r="M672" t="s">
        <v>605</v>
      </c>
      <c r="N672">
        <v>335</v>
      </c>
      <c r="O672">
        <v>15</v>
      </c>
      <c r="P672">
        <v>1008</v>
      </c>
      <c r="Q672">
        <v>373.658565748961</v>
      </c>
      <c r="R672">
        <v>471.60884452970902</v>
      </c>
      <c r="S672" t="s">
        <v>1374</v>
      </c>
      <c r="T672">
        <v>0</v>
      </c>
      <c r="U672">
        <v>0</v>
      </c>
      <c r="V672">
        <v>0</v>
      </c>
      <c r="W672">
        <v>619.89110000000005</v>
      </c>
      <c r="X672">
        <v>0.76079305627990101</v>
      </c>
      <c r="Y672">
        <v>11.05252075195312</v>
      </c>
      <c r="Z672">
        <v>13.432957649230961</v>
      </c>
      <c r="AA672">
        <f t="shared" si="41"/>
        <v>-0.36321895263693044</v>
      </c>
      <c r="AB672">
        <f t="shared" si="42"/>
        <v>1.1946952893889728</v>
      </c>
      <c r="AC672" s="13">
        <f t="shared" si="43"/>
        <v>-9.1379752111717907E-2</v>
      </c>
      <c r="AD672" s="13"/>
      <c r="AE672" s="13"/>
      <c r="AF672" s="13"/>
    </row>
    <row r="673" spans="1:32">
      <c r="A673" s="1" t="s">
        <v>1375</v>
      </c>
      <c r="B673">
        <v>957.26285495655429</v>
      </c>
      <c r="C673">
        <v>119.31249593784017</v>
      </c>
      <c r="D673">
        <v>1323.0148200000001</v>
      </c>
      <c r="E673">
        <v>1304.0292866666666</v>
      </c>
      <c r="F673">
        <v>-18.985533333333326</v>
      </c>
      <c r="G673">
        <v>0.42279020234291798</v>
      </c>
      <c r="H673">
        <v>18.063823914248701</v>
      </c>
      <c r="I673">
        <v>29.736962986794438</v>
      </c>
      <c r="J673">
        <v>11.953298760269359</v>
      </c>
      <c r="K673">
        <v>0</v>
      </c>
      <c r="L673" t="e">
        <f t="shared" si="40"/>
        <v>#NUM!</v>
      </c>
      <c r="M673" t="s">
        <v>605</v>
      </c>
      <c r="N673">
        <v>323</v>
      </c>
      <c r="O673">
        <v>0</v>
      </c>
      <c r="P673">
        <v>972</v>
      </c>
      <c r="Q673">
        <v>0</v>
      </c>
      <c r="R673">
        <v>0</v>
      </c>
      <c r="S673" t="s">
        <v>1376</v>
      </c>
      <c r="T673">
        <v>0</v>
      </c>
      <c r="U673">
        <v>0</v>
      </c>
      <c r="W673">
        <v>2536.4119000000001</v>
      </c>
      <c r="X673">
        <v>0</v>
      </c>
      <c r="Y673">
        <v>11.659793853759769</v>
      </c>
      <c r="Z673">
        <v>11.88128089904785</v>
      </c>
      <c r="AA673">
        <f t="shared" si="41"/>
        <v>-0.35649661203842098</v>
      </c>
      <c r="AB673">
        <f t="shared" si="42"/>
        <v>1.0661417112250746</v>
      </c>
      <c r="AC673" s="13">
        <f t="shared" si="43"/>
        <v>-0.45391654251028785</v>
      </c>
      <c r="AD673" s="13"/>
      <c r="AE673" s="13"/>
      <c r="AF673" s="13"/>
    </row>
    <row r="674" spans="1:32">
      <c r="A674" s="1" t="s">
        <v>1377</v>
      </c>
      <c r="B674">
        <v>945.19820853892395</v>
      </c>
      <c r="C674">
        <v>148.06144576940343</v>
      </c>
      <c r="D674">
        <v>746.41128666666657</v>
      </c>
      <c r="E674">
        <v>741.86718999999994</v>
      </c>
      <c r="F674">
        <v>-4.5440966666666709</v>
      </c>
      <c r="G674">
        <v>0.41533546325878595</v>
      </c>
      <c r="H674">
        <v>21.356208313450662</v>
      </c>
      <c r="I674">
        <v>10.748956763322871</v>
      </c>
      <c r="J674">
        <v>4.3525884635569154</v>
      </c>
      <c r="K674">
        <v>0</v>
      </c>
      <c r="L674" t="e">
        <f t="shared" si="40"/>
        <v>#NUM!</v>
      </c>
      <c r="M674" t="s">
        <v>605</v>
      </c>
      <c r="N674">
        <v>323</v>
      </c>
      <c r="O674">
        <v>0</v>
      </c>
      <c r="P674">
        <v>972</v>
      </c>
      <c r="Q674">
        <v>0</v>
      </c>
      <c r="R674">
        <v>0</v>
      </c>
      <c r="S674" t="s">
        <v>1378</v>
      </c>
      <c r="T674">
        <v>0</v>
      </c>
      <c r="U674">
        <v>0</v>
      </c>
      <c r="W674">
        <v>1584.9763</v>
      </c>
      <c r="X674">
        <v>0</v>
      </c>
      <c r="Y674">
        <v>9.5572423934936523</v>
      </c>
      <c r="Z674">
        <v>12.475284576416019</v>
      </c>
      <c r="AA674">
        <f t="shared" si="41"/>
        <v>-0.35554374338748657</v>
      </c>
      <c r="AB674">
        <f t="shared" si="42"/>
        <v>1.4051401797627057</v>
      </c>
      <c r="AC674" s="13">
        <f t="shared" si="43"/>
        <v>-0.45391654251028785</v>
      </c>
      <c r="AD674" s="13"/>
      <c r="AE674" s="13"/>
      <c r="AF674" s="13"/>
    </row>
    <row r="675" spans="1:32">
      <c r="A675" s="1" t="s">
        <v>1379</v>
      </c>
      <c r="B675">
        <v>865.90066873306284</v>
      </c>
      <c r="C675">
        <v>102.15129017439365</v>
      </c>
      <c r="D675">
        <v>664.59197366666672</v>
      </c>
      <c r="E675">
        <v>365.06247666666667</v>
      </c>
      <c r="F675">
        <v>-299.52949699999999</v>
      </c>
      <c r="G675">
        <v>0.47619047619047616</v>
      </c>
      <c r="H675">
        <v>19.064861603559493</v>
      </c>
      <c r="I675">
        <v>29.1806296175792</v>
      </c>
      <c r="J675">
        <v>12.684052914278809</v>
      </c>
      <c r="K675">
        <v>0</v>
      </c>
      <c r="L675" t="e">
        <f t="shared" si="40"/>
        <v>#NUM!</v>
      </c>
      <c r="M675" t="s">
        <v>605</v>
      </c>
      <c r="N675">
        <v>318</v>
      </c>
      <c r="O675">
        <v>23</v>
      </c>
      <c r="P675">
        <v>957</v>
      </c>
      <c r="Q675">
        <v>603.47615383656603</v>
      </c>
      <c r="R675">
        <v>761.67045987995698</v>
      </c>
      <c r="S675" t="s">
        <v>1380</v>
      </c>
      <c r="T675">
        <v>0</v>
      </c>
      <c r="U675">
        <v>0</v>
      </c>
      <c r="V675">
        <v>0</v>
      </c>
      <c r="W675">
        <v>813.25085000000001</v>
      </c>
      <c r="X675">
        <v>0.93657505538414998</v>
      </c>
      <c r="Y675">
        <v>12.566641807556151</v>
      </c>
      <c r="Z675">
        <v>12.20046234130859</v>
      </c>
      <c r="AA675">
        <f t="shared" si="41"/>
        <v>-0.37500734295509458</v>
      </c>
      <c r="AB675">
        <f t="shared" si="42"/>
        <v>1.16921298191481</v>
      </c>
      <c r="AC675" s="13">
        <f t="shared" si="43"/>
        <v>0.13159742116790371</v>
      </c>
      <c r="AD675" s="13"/>
      <c r="AE675" s="13"/>
      <c r="AF675" s="13"/>
    </row>
    <row r="676" spans="1:32">
      <c r="A676" s="1" t="s">
        <v>1381</v>
      </c>
      <c r="B676">
        <v>963.41936723086201</v>
      </c>
      <c r="C676">
        <v>85.421610999115813</v>
      </c>
      <c r="D676">
        <v>274.32180366666665</v>
      </c>
      <c r="E676">
        <v>140.81521133333334</v>
      </c>
      <c r="F676">
        <v>-133.50659233333332</v>
      </c>
      <c r="G676">
        <v>0.41959531416400425</v>
      </c>
      <c r="H676">
        <v>20.015218874758862</v>
      </c>
      <c r="I676">
        <v>6.8494001981329573</v>
      </c>
      <c r="J676">
        <v>1.7569706759898061</v>
      </c>
      <c r="K676">
        <v>0</v>
      </c>
      <c r="L676" t="e">
        <f t="shared" si="40"/>
        <v>#NUM!</v>
      </c>
      <c r="M676" t="s">
        <v>605</v>
      </c>
      <c r="N676">
        <v>323</v>
      </c>
      <c r="O676">
        <v>1</v>
      </c>
      <c r="P676">
        <v>972</v>
      </c>
      <c r="Q676">
        <v>25.833184792520701</v>
      </c>
      <c r="R676">
        <v>32.605055918103403</v>
      </c>
      <c r="S676" t="s">
        <v>1382</v>
      </c>
      <c r="T676">
        <v>0</v>
      </c>
      <c r="U676">
        <v>0</v>
      </c>
      <c r="V676">
        <v>0</v>
      </c>
      <c r="W676">
        <v>125.11610400000001</v>
      </c>
      <c r="X676">
        <v>0.26059839521620098</v>
      </c>
      <c r="Y676">
        <v>11.74092483520508</v>
      </c>
      <c r="Z676">
        <v>13.27180099487305</v>
      </c>
      <c r="AA676">
        <f t="shared" si="41"/>
        <v>-0.36405289120313777</v>
      </c>
      <c r="AB676">
        <f t="shared" si="42"/>
        <v>1.2670659724642364</v>
      </c>
      <c r="AC676" s="13">
        <f t="shared" si="43"/>
        <v>-0.42885227058149794</v>
      </c>
      <c r="AD676" s="13"/>
      <c r="AE676" s="13"/>
      <c r="AF676" s="13"/>
    </row>
    <row r="677" spans="1:32">
      <c r="A677" s="1" t="s">
        <v>1383</v>
      </c>
      <c r="B677">
        <v>849.98294701942905</v>
      </c>
      <c r="C677">
        <v>128.70806702957847</v>
      </c>
      <c r="D677">
        <v>328.39371133333333</v>
      </c>
      <c r="E677">
        <v>281.60156666666666</v>
      </c>
      <c r="F677">
        <v>-46.792144666666672</v>
      </c>
      <c r="G677">
        <v>0.42116402116402119</v>
      </c>
      <c r="H677">
        <v>18.363481313268323</v>
      </c>
      <c r="I677">
        <v>0.21306732811169837</v>
      </c>
      <c r="J677">
        <v>3.7954174711737849E-2</v>
      </c>
      <c r="K677">
        <v>0</v>
      </c>
      <c r="L677" t="e">
        <f t="shared" si="40"/>
        <v>#NUM!</v>
      </c>
      <c r="M677" t="s">
        <v>605</v>
      </c>
      <c r="N677">
        <v>325</v>
      </c>
      <c r="O677">
        <v>0</v>
      </c>
      <c r="P677">
        <v>978</v>
      </c>
      <c r="Q677">
        <v>0</v>
      </c>
      <c r="R677">
        <v>0</v>
      </c>
      <c r="S677" t="s">
        <v>1384</v>
      </c>
      <c r="T677">
        <v>0</v>
      </c>
      <c r="U677">
        <v>0</v>
      </c>
      <c r="W677">
        <v>454.96359999999999</v>
      </c>
      <c r="X677">
        <v>0</v>
      </c>
      <c r="Y677">
        <v>10.236808776855471</v>
      </c>
      <c r="Z677">
        <v>11.49860668182373</v>
      </c>
      <c r="AA677">
        <f t="shared" si="41"/>
        <v>-0.35833133588479626</v>
      </c>
      <c r="AB677">
        <f t="shared" si="42"/>
        <v>1.0969957631936857</v>
      </c>
      <c r="AC677" s="13">
        <f t="shared" si="43"/>
        <v>-0.45391654251028785</v>
      </c>
      <c r="AD677" s="13"/>
      <c r="AE677" s="13"/>
      <c r="AF677" s="13"/>
    </row>
    <row r="678" spans="1:32">
      <c r="A678" s="1" t="s">
        <v>1385</v>
      </c>
      <c r="B678">
        <v>965.69678331459227</v>
      </c>
      <c r="C678">
        <v>254.51170988014442</v>
      </c>
      <c r="D678">
        <v>11.743848</v>
      </c>
      <c r="E678">
        <v>0</v>
      </c>
      <c r="F678">
        <v>-11.743848</v>
      </c>
      <c r="G678">
        <v>0.40229885057471265</v>
      </c>
      <c r="H678">
        <v>19.217041748807478</v>
      </c>
      <c r="I678">
        <v>1.2831847990326148</v>
      </c>
      <c r="J678">
        <v>1.1875545825858536</v>
      </c>
      <c r="K678">
        <v>0</v>
      </c>
      <c r="L678" t="e">
        <f t="shared" si="40"/>
        <v>#NUM!</v>
      </c>
      <c r="M678" t="s">
        <v>605</v>
      </c>
      <c r="N678">
        <v>329</v>
      </c>
      <c r="O678">
        <v>5</v>
      </c>
      <c r="P678">
        <v>990</v>
      </c>
      <c r="Q678">
        <v>126.81745261782901</v>
      </c>
      <c r="R678">
        <v>160.06118359796201</v>
      </c>
      <c r="S678" t="s">
        <v>1386</v>
      </c>
      <c r="T678">
        <v>0</v>
      </c>
      <c r="U678">
        <v>0</v>
      </c>
      <c r="V678">
        <v>0</v>
      </c>
      <c r="W678">
        <v>0</v>
      </c>
      <c r="X678" t="s">
        <v>56</v>
      </c>
      <c r="Y678">
        <v>12.707255363464361</v>
      </c>
      <c r="Z678">
        <v>12.454514503479</v>
      </c>
      <c r="AA678">
        <f t="shared" si="41"/>
        <v>-0.35601879427739502</v>
      </c>
      <c r="AB678">
        <f t="shared" si="42"/>
        <v>1.1848821231588902</v>
      </c>
      <c r="AC678" s="13">
        <f t="shared" si="43"/>
        <v>-0.33087375304168248</v>
      </c>
      <c r="AD678" s="13"/>
      <c r="AE678" s="13"/>
      <c r="AF678" s="13"/>
    </row>
    <row r="679" spans="1:32">
      <c r="A679" s="1" t="s">
        <v>1387</v>
      </c>
      <c r="B679">
        <v>983.13639632393858</v>
      </c>
      <c r="C679">
        <v>135.1233266668676</v>
      </c>
      <c r="D679">
        <v>312.37647399999997</v>
      </c>
      <c r="E679">
        <v>246.84192333333331</v>
      </c>
      <c r="F679">
        <v>-65.534550666666675</v>
      </c>
      <c r="G679">
        <v>0.49363057324840764</v>
      </c>
      <c r="H679">
        <v>17.552422846521846</v>
      </c>
      <c r="I679">
        <v>8.2576707936838378</v>
      </c>
      <c r="J679">
        <v>2.616557741869554</v>
      </c>
      <c r="K679">
        <v>0</v>
      </c>
      <c r="L679" t="e">
        <f t="shared" si="40"/>
        <v>#NUM!</v>
      </c>
      <c r="M679" t="s">
        <v>605</v>
      </c>
      <c r="N679">
        <v>324</v>
      </c>
      <c r="O679">
        <v>1</v>
      </c>
      <c r="P679">
        <v>975</v>
      </c>
      <c r="Q679">
        <v>25.753698070082201</v>
      </c>
      <c r="R679">
        <v>32.5047326691246</v>
      </c>
      <c r="S679" t="s">
        <v>1388</v>
      </c>
      <c r="T679">
        <v>0</v>
      </c>
      <c r="U679">
        <v>0</v>
      </c>
      <c r="V679">
        <v>0</v>
      </c>
      <c r="W679">
        <v>287.19869999999997</v>
      </c>
      <c r="X679">
        <v>0.113178550839974</v>
      </c>
      <c r="Y679">
        <v>12.31478214263916</v>
      </c>
      <c r="Z679">
        <v>13.8991641998291</v>
      </c>
      <c r="AA679">
        <f t="shared" si="41"/>
        <v>-0.35956798924087863</v>
      </c>
      <c r="AB679">
        <f t="shared" si="42"/>
        <v>1.0134855940323388</v>
      </c>
      <c r="AC679" s="13">
        <f t="shared" si="43"/>
        <v>-0.42892939141820186</v>
      </c>
      <c r="AD679" s="13"/>
      <c r="AE679" s="13"/>
      <c r="AF679" s="13"/>
    </row>
    <row r="680" spans="1:32">
      <c r="A680" s="1" t="s">
        <v>1389</v>
      </c>
      <c r="B680">
        <v>852.51840450442012</v>
      </c>
      <c r="C680">
        <v>191.6654298425419</v>
      </c>
      <c r="D680">
        <v>90.437531333333325</v>
      </c>
      <c r="E680">
        <v>33.376743333333337</v>
      </c>
      <c r="F680">
        <v>-57.060788000000002</v>
      </c>
      <c r="G680">
        <v>0.42279020234291798</v>
      </c>
      <c r="H680">
        <v>20.374216498607755</v>
      </c>
      <c r="I680">
        <v>18.331833951825985</v>
      </c>
      <c r="J680">
        <v>2.5177759922089216</v>
      </c>
      <c r="K680">
        <v>0</v>
      </c>
      <c r="L680" t="e">
        <f t="shared" si="40"/>
        <v>#NUM!</v>
      </c>
      <c r="M680" t="s">
        <v>605</v>
      </c>
      <c r="N680">
        <v>323</v>
      </c>
      <c r="O680">
        <v>35</v>
      </c>
      <c r="P680">
        <v>972</v>
      </c>
      <c r="Q680">
        <v>904.16146773822697</v>
      </c>
      <c r="R680">
        <v>1141.1769571336099</v>
      </c>
      <c r="S680" t="s">
        <v>1390</v>
      </c>
      <c r="T680">
        <v>0</v>
      </c>
      <c r="U680">
        <v>0</v>
      </c>
      <c r="V680">
        <v>0</v>
      </c>
      <c r="W680">
        <v>0</v>
      </c>
      <c r="X680" t="s">
        <v>56</v>
      </c>
      <c r="AA680">
        <f t="shared" si="41"/>
        <v>-0.35900887708418011</v>
      </c>
      <c r="AB680">
        <f t="shared" si="42"/>
        <v>1.3040299565977178</v>
      </c>
      <c r="AC680" s="13">
        <f t="shared" si="43"/>
        <v>0.42333297499736328</v>
      </c>
      <c r="AD680" s="13"/>
      <c r="AE680" s="13"/>
      <c r="AF680" s="13"/>
    </row>
    <row r="681" spans="1:32">
      <c r="A681" s="1" t="s">
        <v>1391</v>
      </c>
      <c r="B681">
        <v>465.64275433859819</v>
      </c>
      <c r="C681">
        <v>26.842354189174426</v>
      </c>
      <c r="D681">
        <v>2138.7149966666666</v>
      </c>
      <c r="E681">
        <v>2233.4421666666667</v>
      </c>
      <c r="F681">
        <v>94.727170000000115</v>
      </c>
      <c r="G681">
        <v>0.45054945054945056</v>
      </c>
      <c r="H681">
        <v>0.5322338820942959</v>
      </c>
      <c r="I681">
        <v>2.2979380750300149</v>
      </c>
      <c r="J681">
        <v>0.56372293181204414</v>
      </c>
      <c r="K681">
        <v>1</v>
      </c>
      <c r="L681">
        <f t="shared" si="40"/>
        <v>1.9764745628330829</v>
      </c>
      <c r="M681" t="s">
        <v>1392</v>
      </c>
      <c r="N681">
        <v>920</v>
      </c>
      <c r="O681">
        <v>34</v>
      </c>
      <c r="P681">
        <v>2763</v>
      </c>
      <c r="Q681">
        <v>308.98845132943399</v>
      </c>
      <c r="R681">
        <v>389.9862062908</v>
      </c>
      <c r="S681" t="s">
        <v>1393</v>
      </c>
      <c r="T681">
        <v>1</v>
      </c>
      <c r="U681">
        <v>122.44398187829</v>
      </c>
      <c r="V681">
        <v>0.14342151700890901</v>
      </c>
      <c r="W681">
        <v>3039.7310000000002</v>
      </c>
      <c r="X681">
        <v>0.128296288813319</v>
      </c>
      <c r="Y681">
        <v>5.6007900238037109</v>
      </c>
      <c r="Z681">
        <v>8.0908517837524414</v>
      </c>
      <c r="AA681">
        <f t="shared" si="41"/>
        <v>-0.34899366944895988</v>
      </c>
      <c r="AB681">
        <f t="shared" si="42"/>
        <v>-0.73898838639369269</v>
      </c>
      <c r="AC681" s="13">
        <f t="shared" si="43"/>
        <v>-0.15412499031967886</v>
      </c>
      <c r="AD681" s="13"/>
      <c r="AE681" s="13"/>
      <c r="AF681" s="13"/>
    </row>
    <row r="682" spans="1:32">
      <c r="A682" s="1" t="s">
        <v>1394</v>
      </c>
      <c r="B682">
        <v>948.07474824485655</v>
      </c>
      <c r="C682">
        <v>160.15621925268132</v>
      </c>
      <c r="D682">
        <v>4035.8191000000002</v>
      </c>
      <c r="E682">
        <v>4194.1562666666669</v>
      </c>
      <c r="F682">
        <v>158.33716666666655</v>
      </c>
      <c r="G682">
        <v>0.49303201506591332</v>
      </c>
      <c r="H682">
        <v>0.95567940347202696</v>
      </c>
      <c r="I682">
        <v>17.636456072723579</v>
      </c>
      <c r="J682">
        <v>6.126588804987037</v>
      </c>
      <c r="K682">
        <v>0.88200944408689119</v>
      </c>
      <c r="L682">
        <f t="shared" si="40"/>
        <v>2.1995828692759081</v>
      </c>
      <c r="M682" t="s">
        <v>1392</v>
      </c>
      <c r="N682">
        <v>895</v>
      </c>
      <c r="O682">
        <v>7</v>
      </c>
      <c r="P682">
        <v>2688</v>
      </c>
      <c r="Q682">
        <v>65.390249006068203</v>
      </c>
      <c r="R682">
        <v>82.5315477926992</v>
      </c>
      <c r="S682" t="s">
        <v>1395</v>
      </c>
      <c r="T682">
        <v>0</v>
      </c>
      <c r="U682">
        <v>0</v>
      </c>
      <c r="V682">
        <v>0</v>
      </c>
      <c r="W682">
        <v>7461.2610000000004</v>
      </c>
      <c r="X682">
        <v>1.1061340407834399E-2</v>
      </c>
      <c r="Y682">
        <v>5.519615650177002</v>
      </c>
      <c r="Z682">
        <v>8.3344240188598633</v>
      </c>
      <c r="AA682">
        <f t="shared" si="41"/>
        <v>-0.34479658206016761</v>
      </c>
      <c r="AB682">
        <f t="shared" si="42"/>
        <v>-0.6953885615096469</v>
      </c>
      <c r="AC682" s="13">
        <f t="shared" si="43"/>
        <v>-0.39047260419053814</v>
      </c>
      <c r="AD682" s="13"/>
      <c r="AE682" s="13"/>
      <c r="AF682" s="13"/>
    </row>
    <row r="683" spans="1:32">
      <c r="A683" s="1" t="s">
        <v>1396</v>
      </c>
      <c r="B683">
        <v>385.80777801069343</v>
      </c>
      <c r="C683">
        <v>78.303806443542925</v>
      </c>
      <c r="D683">
        <v>754.35654666666653</v>
      </c>
      <c r="E683">
        <v>1112.1516566666667</v>
      </c>
      <c r="F683">
        <v>357.79511000000002</v>
      </c>
      <c r="G683">
        <v>0.44140249759846301</v>
      </c>
      <c r="H683">
        <v>0.52379855887871052</v>
      </c>
      <c r="I683">
        <v>25.150411600351273</v>
      </c>
      <c r="J683">
        <v>9.3453265630776627</v>
      </c>
      <c r="K683">
        <v>1</v>
      </c>
      <c r="L683">
        <f t="shared" si="40"/>
        <v>2.5536344007519558</v>
      </c>
      <c r="M683" t="s">
        <v>1392</v>
      </c>
      <c r="N683">
        <v>704</v>
      </c>
      <c r="O683">
        <v>7</v>
      </c>
      <c r="P683">
        <v>2115</v>
      </c>
      <c r="Q683">
        <v>83.105905119768906</v>
      </c>
      <c r="R683">
        <v>104.89115861313201</v>
      </c>
      <c r="S683" t="s">
        <v>1397</v>
      </c>
      <c r="T683">
        <v>0</v>
      </c>
      <c r="U683">
        <v>0</v>
      </c>
      <c r="V683">
        <v>0</v>
      </c>
      <c r="W683">
        <v>1566.5138999999999</v>
      </c>
      <c r="X683">
        <v>6.6958332519827995E-2</v>
      </c>
      <c r="Y683">
        <v>5.5615077018737793</v>
      </c>
      <c r="Z683">
        <v>8.4532613754272461</v>
      </c>
      <c r="AA683">
        <f t="shared" si="41"/>
        <v>-0.3316360339949691</v>
      </c>
      <c r="AB683">
        <f t="shared" si="42"/>
        <v>-0.73985692460338548</v>
      </c>
      <c r="AC683" s="13">
        <f t="shared" si="43"/>
        <v>-0.37328424643298891</v>
      </c>
      <c r="AD683" s="13"/>
      <c r="AE683" s="13"/>
      <c r="AF683" s="13"/>
    </row>
    <row r="684" spans="1:32">
      <c r="A684" s="1" t="s">
        <v>1398</v>
      </c>
      <c r="B684">
        <v>1635.8200838928244</v>
      </c>
      <c r="C684">
        <v>546.09180795905809</v>
      </c>
      <c r="D684">
        <v>6606.4274333333333</v>
      </c>
      <c r="E684">
        <v>8043.4585666666671</v>
      </c>
      <c r="F684">
        <v>1437.0311333333339</v>
      </c>
      <c r="G684">
        <v>0.48424242424242425</v>
      </c>
      <c r="H684">
        <v>0.15570945821975332</v>
      </c>
      <c r="I684">
        <v>3.3389490118117493</v>
      </c>
      <c r="J684">
        <v>0.58198118624606265</v>
      </c>
      <c r="K684">
        <v>1</v>
      </c>
      <c r="L684">
        <f t="shared" si="40"/>
        <v>3.1574661772423691</v>
      </c>
      <c r="M684" t="s">
        <v>1392</v>
      </c>
      <c r="N684">
        <v>560</v>
      </c>
      <c r="O684">
        <v>17</v>
      </c>
      <c r="P684">
        <v>1683</v>
      </c>
      <c r="Q684">
        <v>253.63490523565801</v>
      </c>
      <c r="R684">
        <v>320.12236719592403</v>
      </c>
      <c r="S684" t="s">
        <v>1399</v>
      </c>
      <c r="T684">
        <v>0</v>
      </c>
      <c r="U684">
        <v>0</v>
      </c>
      <c r="V684">
        <v>0</v>
      </c>
      <c r="W684">
        <v>13528.483</v>
      </c>
      <c r="X684">
        <v>2.36628428476366E-2</v>
      </c>
      <c r="Y684">
        <v>7.1986417770385742</v>
      </c>
      <c r="Z684">
        <v>8.3482236862182617</v>
      </c>
      <c r="AA684">
        <f t="shared" si="41"/>
        <v>-0.26042634777537615</v>
      </c>
      <c r="AB684">
        <f t="shared" si="42"/>
        <v>-0.77775700742452447</v>
      </c>
      <c r="AC684" s="13">
        <f t="shared" si="43"/>
        <v>-0.20783096357307709</v>
      </c>
      <c r="AD684" s="13"/>
      <c r="AE684" s="13"/>
      <c r="AF684" s="13"/>
    </row>
    <row r="685" spans="1:32">
      <c r="A685" s="1" t="s">
        <v>1400</v>
      </c>
      <c r="B685">
        <v>5732.9228761783779</v>
      </c>
      <c r="C685">
        <v>200.47899894225921</v>
      </c>
      <c r="D685">
        <v>91531.209666666677</v>
      </c>
      <c r="E685">
        <v>93374.563333333339</v>
      </c>
      <c r="F685">
        <v>1843.3536666666671</v>
      </c>
      <c r="G685">
        <v>0.58351568198395332</v>
      </c>
      <c r="H685">
        <v>5.836763719432924E-2</v>
      </c>
      <c r="I685">
        <v>1.9079852453258004</v>
      </c>
      <c r="J685">
        <v>0.83554861542486314</v>
      </c>
      <c r="K685">
        <v>1</v>
      </c>
      <c r="L685">
        <f t="shared" si="40"/>
        <v>3.2656086671487401</v>
      </c>
      <c r="M685" t="s">
        <v>1392</v>
      </c>
      <c r="N685">
        <v>467</v>
      </c>
      <c r="O685">
        <v>73</v>
      </c>
      <c r="P685">
        <v>1404</v>
      </c>
      <c r="Q685">
        <v>1305.5694160527801</v>
      </c>
      <c r="R685">
        <v>1647.8093644764499</v>
      </c>
      <c r="S685" t="s">
        <v>1401</v>
      </c>
      <c r="T685">
        <v>14</v>
      </c>
      <c r="U685">
        <v>1714.2157462960599</v>
      </c>
      <c r="V685">
        <v>0.935186878030698</v>
      </c>
      <c r="W685">
        <v>100064.3</v>
      </c>
      <c r="X685">
        <v>1.6467505039024399E-2</v>
      </c>
      <c r="Y685">
        <v>8.8979644775390625</v>
      </c>
      <c r="Z685">
        <v>9.5819282531738281</v>
      </c>
      <c r="AA685">
        <f t="shared" si="41"/>
        <v>-0.2336165494763435</v>
      </c>
      <c r="AB685">
        <f t="shared" si="42"/>
        <v>-0.78777975211383899</v>
      </c>
      <c r="AC685" s="13">
        <f t="shared" si="43"/>
        <v>0.81279320035240799</v>
      </c>
      <c r="AD685" s="13"/>
      <c r="AE685" s="13"/>
      <c r="AF685" s="13"/>
    </row>
    <row r="686" spans="1:32">
      <c r="A686" s="1" t="s">
        <v>1402</v>
      </c>
      <c r="B686">
        <v>511.928336169185</v>
      </c>
      <c r="C686">
        <v>20.447723537825006</v>
      </c>
      <c r="D686">
        <v>29568.548666666669</v>
      </c>
      <c r="E686">
        <v>34221.773999999998</v>
      </c>
      <c r="F686">
        <v>4653.2253333333347</v>
      </c>
      <c r="G686">
        <v>0.59154040404040398</v>
      </c>
      <c r="H686">
        <v>0.12343688788906289</v>
      </c>
      <c r="I686">
        <v>18.6988563763739</v>
      </c>
      <c r="J686">
        <v>8.4654397431562014</v>
      </c>
      <c r="K686">
        <v>1</v>
      </c>
      <c r="L686">
        <f t="shared" si="40"/>
        <v>3.6677540838364586</v>
      </c>
      <c r="M686" t="s">
        <v>1392</v>
      </c>
      <c r="N686">
        <v>538</v>
      </c>
      <c r="O686">
        <v>50</v>
      </c>
      <c r="P686">
        <v>1617</v>
      </c>
      <c r="Q686">
        <v>776.43338337446403</v>
      </c>
      <c r="R686">
        <v>979.96643019160399</v>
      </c>
      <c r="S686" t="s">
        <v>1403</v>
      </c>
      <c r="T686">
        <v>0</v>
      </c>
      <c r="U686">
        <v>0</v>
      </c>
      <c r="V686">
        <v>0</v>
      </c>
      <c r="W686">
        <v>40167.945</v>
      </c>
      <c r="X686">
        <v>2.4396728042512601E-2</v>
      </c>
      <c r="Y686">
        <v>5.6537952423095703</v>
      </c>
      <c r="Z686">
        <v>8.54266357421875</v>
      </c>
      <c r="AA686">
        <f t="shared" si="41"/>
        <v>-4.8216808016028956E-2</v>
      </c>
      <c r="AB686">
        <f t="shared" si="42"/>
        <v>-0.78107993409144982</v>
      </c>
      <c r="AC686" s="13">
        <f t="shared" si="43"/>
        <v>0.29940665831790908</v>
      </c>
      <c r="AD686" s="13"/>
      <c r="AE686" s="13"/>
      <c r="AF686" s="13"/>
    </row>
    <row r="687" spans="1:32">
      <c r="A687" s="1" t="s">
        <v>1404</v>
      </c>
      <c r="B687">
        <v>277.25946321134916</v>
      </c>
      <c r="C687">
        <v>22.194229811153409</v>
      </c>
      <c r="D687">
        <v>10560.102099999998</v>
      </c>
      <c r="E687">
        <v>15727.157666666666</v>
      </c>
      <c r="F687">
        <v>5167.055566666666</v>
      </c>
      <c r="G687">
        <v>0.40202458423716558</v>
      </c>
      <c r="H687">
        <v>0.15039122998694118</v>
      </c>
      <c r="I687">
        <v>20.518159464524157</v>
      </c>
      <c r="J687">
        <v>7.5617677155163143</v>
      </c>
      <c r="K687">
        <v>1</v>
      </c>
      <c r="L687">
        <f t="shared" si="40"/>
        <v>3.7132431319863333</v>
      </c>
      <c r="M687" t="s">
        <v>1392</v>
      </c>
      <c r="N687">
        <v>471</v>
      </c>
      <c r="O687">
        <v>91</v>
      </c>
      <c r="P687">
        <v>1416</v>
      </c>
      <c r="Q687">
        <v>1613.6983483531401</v>
      </c>
      <c r="R687">
        <v>2036.7107387486401</v>
      </c>
      <c r="S687" t="s">
        <v>1405</v>
      </c>
      <c r="T687">
        <v>1</v>
      </c>
      <c r="U687">
        <v>122.44398187829</v>
      </c>
      <c r="V687">
        <v>5.3586061300032101E-2</v>
      </c>
      <c r="W687">
        <v>21342.14</v>
      </c>
      <c r="X687">
        <v>9.5431420595528102E-2</v>
      </c>
      <c r="Y687">
        <v>9.3281106948852539</v>
      </c>
      <c r="Z687">
        <v>9.3080673217773438</v>
      </c>
      <c r="AA687">
        <f t="shared" si="41"/>
        <v>-1.4313482983571593E-2</v>
      </c>
      <c r="AB687">
        <f t="shared" si="42"/>
        <v>-0.77830459573975708</v>
      </c>
      <c r="AC687" s="13">
        <f t="shared" si="43"/>
        <v>1.1117508167025194</v>
      </c>
      <c r="AD687" s="13"/>
      <c r="AE687" s="13"/>
      <c r="AF687" s="13"/>
    </row>
    <row r="688" spans="1:32">
      <c r="A688" s="1" t="s">
        <v>1406</v>
      </c>
      <c r="B688">
        <v>1546.0900000164008</v>
      </c>
      <c r="C688">
        <v>393.40880013084387</v>
      </c>
      <c r="D688">
        <v>11447.575499999999</v>
      </c>
      <c r="E688">
        <v>16649.235333333334</v>
      </c>
      <c r="F688">
        <v>5201.6598333333332</v>
      </c>
      <c r="G688">
        <v>0.56178489702517165</v>
      </c>
      <c r="H688">
        <v>0.12034628967855376</v>
      </c>
      <c r="I688">
        <v>5.1803809614437855</v>
      </c>
      <c r="J688">
        <v>0.48374008531847212</v>
      </c>
      <c r="K688">
        <v>1</v>
      </c>
      <c r="L688">
        <f t="shared" si="40"/>
        <v>3.7161419477566824</v>
      </c>
      <c r="M688" t="s">
        <v>1392</v>
      </c>
      <c r="N688">
        <v>884</v>
      </c>
      <c r="O688">
        <v>18</v>
      </c>
      <c r="P688">
        <v>2655</v>
      </c>
      <c r="Q688">
        <v>170.23630927681401</v>
      </c>
      <c r="R688">
        <v>214.86179221963701</v>
      </c>
      <c r="S688" t="s">
        <v>1407</v>
      </c>
      <c r="T688">
        <v>0</v>
      </c>
      <c r="U688">
        <v>0</v>
      </c>
      <c r="V688">
        <v>0</v>
      </c>
      <c r="W688">
        <v>22937.567999999999</v>
      </c>
      <c r="X688">
        <v>9.3672438254847803E-3</v>
      </c>
      <c r="Y688">
        <v>5.8005790710449219</v>
      </c>
      <c r="Z688">
        <v>8.1805353164672852</v>
      </c>
      <c r="AA688">
        <f t="shared" si="41"/>
        <v>-1.2030239172285833E-2</v>
      </c>
      <c r="AB688">
        <f t="shared" si="42"/>
        <v>-0.78139815576097349</v>
      </c>
      <c r="AC688" s="13">
        <f t="shared" si="43"/>
        <v>-0.28874723868124519</v>
      </c>
      <c r="AD688" s="13"/>
      <c r="AE688" s="13"/>
      <c r="AF688" s="13"/>
    </row>
    <row r="689" spans="1:32">
      <c r="A689" s="1" t="s">
        <v>1408</v>
      </c>
      <c r="B689">
        <v>2408.8806394193834</v>
      </c>
      <c r="C689">
        <v>502.67544543127281</v>
      </c>
      <c r="D689">
        <v>6407.4500666666672</v>
      </c>
      <c r="E689">
        <v>12184.481</v>
      </c>
      <c r="F689">
        <v>5777.0309333333325</v>
      </c>
      <c r="G689">
        <v>0.55454545454545445</v>
      </c>
      <c r="H689">
        <v>0.10727448145081263</v>
      </c>
      <c r="I689">
        <v>5.5390484835503075</v>
      </c>
      <c r="J689">
        <v>0.31414070515135095</v>
      </c>
      <c r="K689">
        <v>1</v>
      </c>
      <c r="L689">
        <f t="shared" si="40"/>
        <v>3.761704692994071</v>
      </c>
      <c r="M689" t="s">
        <v>1392</v>
      </c>
      <c r="N689">
        <v>450</v>
      </c>
      <c r="O689">
        <v>20</v>
      </c>
      <c r="P689">
        <v>1353</v>
      </c>
      <c r="Q689">
        <v>371.17303205218298</v>
      </c>
      <c r="R689">
        <v>468.47175687208397</v>
      </c>
      <c r="S689" t="s">
        <v>1409</v>
      </c>
      <c r="T689">
        <v>0</v>
      </c>
      <c r="U689">
        <v>0</v>
      </c>
      <c r="V689">
        <v>0</v>
      </c>
      <c r="W689">
        <v>17404.636999999999</v>
      </c>
      <c r="X689">
        <v>2.6916491097865699E-2</v>
      </c>
      <c r="Y689">
        <v>9.586979866027832</v>
      </c>
      <c r="Z689">
        <v>9.0430450439453125</v>
      </c>
      <c r="AA689">
        <f t="shared" si="41"/>
        <v>2.593364880494799E-2</v>
      </c>
      <c r="AB689">
        <f t="shared" si="42"/>
        <v>-0.78274408698677322</v>
      </c>
      <c r="AC689" s="13">
        <f t="shared" si="43"/>
        <v>-9.3791305041198425E-2</v>
      </c>
      <c r="AD689" s="13"/>
      <c r="AE689" s="13"/>
      <c r="AF689" s="13"/>
    </row>
    <row r="690" spans="1:32">
      <c r="A690" s="1" t="s">
        <v>1410</v>
      </c>
      <c r="B690">
        <v>560.32408527639063</v>
      </c>
      <c r="C690">
        <v>52.367822159082486</v>
      </c>
      <c r="D690">
        <v>1034.3100733333333</v>
      </c>
      <c r="E690">
        <v>9560.32</v>
      </c>
      <c r="F690">
        <v>8526.0099266666675</v>
      </c>
      <c r="G690">
        <v>0.58315334773218142</v>
      </c>
      <c r="H690">
        <v>5.8201558730009227E-2</v>
      </c>
      <c r="I690">
        <v>13.681153710412152</v>
      </c>
      <c r="J690">
        <v>5.6407280523290195</v>
      </c>
      <c r="K690">
        <v>1</v>
      </c>
      <c r="L690">
        <f t="shared" si="40"/>
        <v>3.9307458339519821</v>
      </c>
      <c r="M690" t="s">
        <v>1392</v>
      </c>
      <c r="N690">
        <v>473</v>
      </c>
      <c r="O690">
        <v>17</v>
      </c>
      <c r="P690">
        <v>1422</v>
      </c>
      <c r="Q690">
        <v>300.18814733587402</v>
      </c>
      <c r="R690">
        <v>378.87900421289697</v>
      </c>
      <c r="S690" t="s">
        <v>1411</v>
      </c>
      <c r="T690">
        <v>2</v>
      </c>
      <c r="U690">
        <v>244.887963756581</v>
      </c>
      <c r="V690">
        <v>0.57368606803563804</v>
      </c>
      <c r="W690">
        <v>9576.8150000000005</v>
      </c>
      <c r="X690">
        <v>3.9562109554470599E-2</v>
      </c>
      <c r="Y690">
        <v>9.4906330108642578</v>
      </c>
      <c r="Z690">
        <v>8.9477691650390625</v>
      </c>
      <c r="AA690">
        <f t="shared" si="41"/>
        <v>0.20731559613368217</v>
      </c>
      <c r="AB690">
        <f t="shared" si="42"/>
        <v>-0.78779685228752316</v>
      </c>
      <c r="AC690" s="13">
        <f t="shared" si="43"/>
        <v>-0.16266335731244952</v>
      </c>
      <c r="AD690" s="13"/>
      <c r="AE690" s="13"/>
      <c r="AF690" s="13"/>
    </row>
    <row r="691" spans="1:32">
      <c r="A691" s="1" t="s">
        <v>1412</v>
      </c>
      <c r="B691">
        <v>1467.4997550448149</v>
      </c>
      <c r="C691">
        <v>316.53446013662943</v>
      </c>
      <c r="D691">
        <v>1882.4105</v>
      </c>
      <c r="E691">
        <v>10490.206666666667</v>
      </c>
      <c r="F691">
        <v>8607.796166666667</v>
      </c>
      <c r="G691">
        <v>0.62334032145352891</v>
      </c>
      <c r="H691">
        <v>5.758767626292214E-2</v>
      </c>
      <c r="I691">
        <v>28.545364429945725</v>
      </c>
      <c r="J691">
        <v>9.2446890198894938</v>
      </c>
      <c r="K691">
        <v>1</v>
      </c>
      <c r="L691">
        <f t="shared" si="40"/>
        <v>3.9348919743144131</v>
      </c>
      <c r="M691" t="s">
        <v>1392</v>
      </c>
      <c r="N691">
        <v>487</v>
      </c>
      <c r="O691">
        <v>28</v>
      </c>
      <c r="P691">
        <v>1464</v>
      </c>
      <c r="Q691">
        <v>480.24314024128699</v>
      </c>
      <c r="R691">
        <v>606.13333460867602</v>
      </c>
      <c r="S691" t="s">
        <v>1413</v>
      </c>
      <c r="T691">
        <v>0</v>
      </c>
      <c r="U691">
        <v>0</v>
      </c>
      <c r="V691">
        <v>0</v>
      </c>
      <c r="W691">
        <v>11498.618</v>
      </c>
      <c r="X691">
        <v>5.2713581285044497E-2</v>
      </c>
      <c r="Y691">
        <v>8.9144630432128906</v>
      </c>
      <c r="Z691">
        <v>9.7062816619873047</v>
      </c>
      <c r="AA691">
        <f t="shared" si="41"/>
        <v>0.21271198057745966</v>
      </c>
      <c r="AB691">
        <f t="shared" si="42"/>
        <v>-0.78786006034313627</v>
      </c>
      <c r="AC691" s="13">
        <f t="shared" si="43"/>
        <v>1.2032381542955592E-2</v>
      </c>
      <c r="AD691" s="13"/>
      <c r="AE691" s="13"/>
      <c r="AF691" s="13"/>
    </row>
    <row r="692" spans="1:32">
      <c r="A692" s="1" t="s">
        <v>1414</v>
      </c>
      <c r="B692">
        <v>828.63742315350191</v>
      </c>
      <c r="C692">
        <v>130.19723581541612</v>
      </c>
      <c r="D692">
        <v>56844.572666666667</v>
      </c>
      <c r="E692">
        <v>65889.500666666674</v>
      </c>
      <c r="F692">
        <v>9044.9280000000017</v>
      </c>
      <c r="G692">
        <v>0.45526057030481809</v>
      </c>
      <c r="H692">
        <v>19.280986534603727</v>
      </c>
      <c r="I692">
        <v>39.859798977859363</v>
      </c>
      <c r="J692">
        <v>18.338321839524948</v>
      </c>
      <c r="K692">
        <v>0</v>
      </c>
      <c r="L692">
        <f t="shared" si="40"/>
        <v>3.9564051141115701</v>
      </c>
      <c r="M692" t="s">
        <v>1392</v>
      </c>
      <c r="N692">
        <v>1027</v>
      </c>
      <c r="O692">
        <v>35</v>
      </c>
      <c r="P692">
        <v>3084</v>
      </c>
      <c r="Q692">
        <v>284.96917854784601</v>
      </c>
      <c r="R692">
        <v>359.67055847402003</v>
      </c>
      <c r="S692" t="s">
        <v>1415</v>
      </c>
      <c r="T692">
        <v>2</v>
      </c>
      <c r="U692">
        <v>244.887963756581</v>
      </c>
      <c r="V692">
        <v>0.27864751876016702</v>
      </c>
      <c r="W692">
        <v>72168.78</v>
      </c>
      <c r="X692">
        <v>4.9837417020769902E-3</v>
      </c>
      <c r="Y692">
        <v>5.7090659141540527</v>
      </c>
      <c r="Z692">
        <v>7.6538920402526864</v>
      </c>
      <c r="AA692">
        <f t="shared" si="41"/>
        <v>0.24155462483253187</v>
      </c>
      <c r="AB692">
        <f t="shared" si="42"/>
        <v>1.1914661612988926</v>
      </c>
      <c r="AC692" s="13">
        <f t="shared" si="43"/>
        <v>-0.1774293404942576</v>
      </c>
      <c r="AD692" s="13"/>
      <c r="AE692" s="13"/>
      <c r="AF692" s="13"/>
    </row>
    <row r="693" spans="1:32">
      <c r="A693" s="1" t="s">
        <v>1416</v>
      </c>
      <c r="B693">
        <v>121.20303094299409</v>
      </c>
      <c r="C693">
        <v>21.382451993670418</v>
      </c>
      <c r="D693">
        <v>2631.5207500000001</v>
      </c>
      <c r="E693">
        <v>12603.466999999999</v>
      </c>
      <c r="F693">
        <v>9971.9462499999991</v>
      </c>
      <c r="G693">
        <v>0.53104279686558176</v>
      </c>
      <c r="H693">
        <v>7.5540812996660836E-2</v>
      </c>
      <c r="I693">
        <v>8.1767496045608112</v>
      </c>
      <c r="J693">
        <v>3.1924294492500565</v>
      </c>
      <c r="K693">
        <v>1</v>
      </c>
      <c r="L693">
        <f t="shared" si="40"/>
        <v>3.9987799289381023</v>
      </c>
      <c r="M693" t="s">
        <v>1392</v>
      </c>
      <c r="N693">
        <v>563</v>
      </c>
      <c r="O693">
        <v>16</v>
      </c>
      <c r="P693">
        <v>1692</v>
      </c>
      <c r="Q693">
        <v>237.445443199339</v>
      </c>
      <c r="R693">
        <v>299.68902460894998</v>
      </c>
      <c r="S693" t="s">
        <v>1417</v>
      </c>
      <c r="T693">
        <v>2</v>
      </c>
      <c r="U693">
        <v>244.887963756581</v>
      </c>
      <c r="V693">
        <v>0.60954144728786497</v>
      </c>
      <c r="W693">
        <v>16074.263999999999</v>
      </c>
      <c r="X693">
        <v>1.8644027783104099E-2</v>
      </c>
      <c r="Y693">
        <v>9.2797832489013672</v>
      </c>
      <c r="Z693">
        <v>6.659794807434082</v>
      </c>
      <c r="AA693">
        <f t="shared" si="41"/>
        <v>0.3027207435267994</v>
      </c>
      <c r="AB693">
        <f t="shared" si="42"/>
        <v>-0.78601152593152279</v>
      </c>
      <c r="AC693" s="13">
        <f t="shared" si="43"/>
        <v>-0.22353855371800585</v>
      </c>
      <c r="AD693" s="13"/>
      <c r="AE693" s="13"/>
      <c r="AF693" s="13"/>
    </row>
    <row r="694" spans="1:32">
      <c r="A694" s="1" t="s">
        <v>1418</v>
      </c>
      <c r="B694">
        <v>108.50506980435955</v>
      </c>
      <c r="C694">
        <v>5.4287013790193717</v>
      </c>
      <c r="D694">
        <v>103.50044200000001</v>
      </c>
      <c r="E694">
        <v>10222.649333333333</v>
      </c>
      <c r="F694">
        <v>10119.148891333332</v>
      </c>
      <c r="G694">
        <v>0.57840819542947197</v>
      </c>
      <c r="H694">
        <v>6.256998682648264E-2</v>
      </c>
      <c r="I694">
        <v>28.152012278639955</v>
      </c>
      <c r="J694">
        <v>7.5999795935365091</v>
      </c>
      <c r="K694">
        <v>1</v>
      </c>
      <c r="L694">
        <f t="shared" si="40"/>
        <v>4.0051439860866234</v>
      </c>
      <c r="M694" t="s">
        <v>1392</v>
      </c>
      <c r="N694">
        <v>433</v>
      </c>
      <c r="O694">
        <v>5</v>
      </c>
      <c r="P694">
        <v>1302</v>
      </c>
      <c r="Q694">
        <v>96.428016967473795</v>
      </c>
      <c r="R694">
        <v>121.705508265731</v>
      </c>
      <c r="S694" t="s">
        <v>1419</v>
      </c>
      <c r="T694">
        <v>0</v>
      </c>
      <c r="U694">
        <v>0</v>
      </c>
      <c r="V694">
        <v>0</v>
      </c>
      <c r="W694">
        <v>11103.923000000001</v>
      </c>
      <c r="X694">
        <v>1.0960586476124801E-2</v>
      </c>
      <c r="Y694">
        <v>9.5867395401000977</v>
      </c>
      <c r="Z694">
        <v>9.0220146179199219</v>
      </c>
      <c r="AA694">
        <f t="shared" si="41"/>
        <v>0.31243340477365661</v>
      </c>
      <c r="AB694">
        <f t="shared" si="42"/>
        <v>-0.78734705959776907</v>
      </c>
      <c r="AC694" s="13">
        <f t="shared" si="43"/>
        <v>-0.36035866111710851</v>
      </c>
      <c r="AD694" s="13"/>
      <c r="AE694" s="13"/>
      <c r="AF694" s="13"/>
    </row>
    <row r="695" spans="1:32">
      <c r="A695" s="1" t="s">
        <v>1420</v>
      </c>
      <c r="B695">
        <v>2325.0181052170801</v>
      </c>
      <c r="C695">
        <v>307.49910806969314</v>
      </c>
      <c r="D695">
        <v>208781.93333333332</v>
      </c>
      <c r="E695">
        <v>218920.25666666668</v>
      </c>
      <c r="F695">
        <v>10138.323333333334</v>
      </c>
      <c r="G695">
        <v>0.65771144278606963</v>
      </c>
      <c r="H695">
        <v>4.873666486928873E-2</v>
      </c>
      <c r="I695">
        <v>6.0469648384443717</v>
      </c>
      <c r="J695">
        <v>3.1050437635431187</v>
      </c>
      <c r="K695">
        <v>1</v>
      </c>
      <c r="L695">
        <f t="shared" si="40"/>
        <v>4.0059661377103541</v>
      </c>
      <c r="M695" t="s">
        <v>1392</v>
      </c>
      <c r="N695">
        <v>345</v>
      </c>
      <c r="O695">
        <v>17</v>
      </c>
      <c r="P695">
        <v>1038</v>
      </c>
      <c r="Q695">
        <v>411.24040993411597</v>
      </c>
      <c r="R695">
        <v>519.04233525119503</v>
      </c>
      <c r="S695" t="s">
        <v>1421</v>
      </c>
      <c r="T695">
        <v>2</v>
      </c>
      <c r="U695">
        <v>244.887963756581</v>
      </c>
      <c r="V695">
        <v>0.57368606803563804</v>
      </c>
      <c r="W695">
        <v>210501.27</v>
      </c>
      <c r="X695">
        <v>2.4657444358943499E-3</v>
      </c>
      <c r="Y695">
        <v>10.95313739776611</v>
      </c>
      <c r="Z695">
        <v>9.6013374328613281</v>
      </c>
      <c r="AA695">
        <f t="shared" si="41"/>
        <v>0.31369856454291517</v>
      </c>
      <c r="AB695">
        <f t="shared" si="42"/>
        <v>-0.78877139964731302</v>
      </c>
      <c r="AC695" s="13">
        <f t="shared" si="43"/>
        <v>-5.4916514233480845E-2</v>
      </c>
      <c r="AD695" s="13"/>
      <c r="AE695" s="13"/>
      <c r="AF695" s="13"/>
    </row>
    <row r="696" spans="1:32">
      <c r="A696" s="1" t="s">
        <v>1422</v>
      </c>
      <c r="B696">
        <v>769.96727131392811</v>
      </c>
      <c r="C696">
        <v>69.283446004301638</v>
      </c>
      <c r="D696">
        <v>21100.5</v>
      </c>
      <c r="E696">
        <v>31851.120333333336</v>
      </c>
      <c r="F696">
        <v>10750.620333333332</v>
      </c>
      <c r="G696">
        <v>0.6025857223159079</v>
      </c>
      <c r="H696">
        <v>9.5415784904485781E-2</v>
      </c>
      <c r="I696">
        <v>11.117535069354361</v>
      </c>
      <c r="J696">
        <v>2.14228386680431</v>
      </c>
      <c r="K696">
        <v>1</v>
      </c>
      <c r="L696">
        <f t="shared" si="40"/>
        <v>4.031433524676812</v>
      </c>
      <c r="M696" t="s">
        <v>1392</v>
      </c>
      <c r="N696">
        <v>603</v>
      </c>
      <c r="O696">
        <v>11</v>
      </c>
      <c r="P696">
        <v>1812</v>
      </c>
      <c r="Q696">
        <v>152.43289834527101</v>
      </c>
      <c r="R696">
        <v>192.39142266907299</v>
      </c>
      <c r="S696" t="s">
        <v>1423</v>
      </c>
      <c r="T696">
        <v>0</v>
      </c>
      <c r="U696">
        <v>0</v>
      </c>
      <c r="V696">
        <v>0</v>
      </c>
      <c r="W696">
        <v>32180.157999999999</v>
      </c>
      <c r="X696">
        <v>5.9785729662692596E-3</v>
      </c>
      <c r="Y696">
        <v>7.1164908409118652</v>
      </c>
      <c r="Z696">
        <v>8.5089101791381836</v>
      </c>
      <c r="AA696">
        <f t="shared" si="41"/>
        <v>0.35409888134158007</v>
      </c>
      <c r="AB696">
        <f t="shared" si="42"/>
        <v>-0.78396511086510046</v>
      </c>
      <c r="AC696" s="13">
        <f t="shared" si="43"/>
        <v>-0.30602073927484519</v>
      </c>
      <c r="AD696" s="13"/>
      <c r="AE696" s="13"/>
      <c r="AF696" s="13"/>
    </row>
    <row r="697" spans="1:32">
      <c r="A697" s="1" t="s">
        <v>1424</v>
      </c>
      <c r="B697">
        <v>6474.0700732246796</v>
      </c>
      <c r="C697">
        <v>73.805556625480889</v>
      </c>
      <c r="D697">
        <v>12210.600333333334</v>
      </c>
      <c r="E697">
        <v>23476.581333333332</v>
      </c>
      <c r="F697">
        <v>11265.981</v>
      </c>
      <c r="G697">
        <v>0.55098934550989342</v>
      </c>
      <c r="H697">
        <v>4.6423687962995154E-2</v>
      </c>
      <c r="I697">
        <v>27.571161518071971</v>
      </c>
      <c r="J697">
        <v>11.243672962525698</v>
      </c>
      <c r="K697">
        <v>1</v>
      </c>
      <c r="L697">
        <f t="shared" si="40"/>
        <v>4.0517690144652727</v>
      </c>
      <c r="M697" t="s">
        <v>1392</v>
      </c>
      <c r="N697">
        <v>448</v>
      </c>
      <c r="O697">
        <v>12</v>
      </c>
      <c r="P697">
        <v>1347</v>
      </c>
      <c r="Q697">
        <v>223.69581842610401</v>
      </c>
      <c r="R697">
        <v>282.33509445342003</v>
      </c>
      <c r="S697" t="s">
        <v>1425</v>
      </c>
      <c r="T697">
        <v>1</v>
      </c>
      <c r="U697">
        <v>122.44398187829</v>
      </c>
      <c r="V697">
        <v>0.40636096485857698</v>
      </c>
      <c r="W697">
        <v>29163.634999999998</v>
      </c>
      <c r="X697">
        <v>9.6810666589888707E-3</v>
      </c>
      <c r="Y697">
        <v>9.4550905227661133</v>
      </c>
      <c r="Z697">
        <v>8.9462165832519531</v>
      </c>
      <c r="AA697">
        <f t="shared" si="41"/>
        <v>0.3881031867667325</v>
      </c>
      <c r="AB697">
        <f t="shared" si="42"/>
        <v>-0.78900955398590922</v>
      </c>
      <c r="AC697" s="13">
        <f t="shared" si="43"/>
        <v>-0.23687892723381662</v>
      </c>
      <c r="AD697" s="13"/>
      <c r="AE697" s="13"/>
      <c r="AF697" s="13"/>
    </row>
    <row r="698" spans="1:32">
      <c r="A698" s="1" t="s">
        <v>1426</v>
      </c>
      <c r="B698">
        <v>6434.9252193549182</v>
      </c>
      <c r="C698">
        <v>31.204214028515633</v>
      </c>
      <c r="D698">
        <v>8433.9768999999997</v>
      </c>
      <c r="E698">
        <v>20725.908333333333</v>
      </c>
      <c r="F698">
        <v>12291.931433333333</v>
      </c>
      <c r="G698">
        <v>0.58183183183183185</v>
      </c>
      <c r="H698">
        <v>5.7646128768416349E-2</v>
      </c>
      <c r="I698">
        <v>13.320368606958345</v>
      </c>
      <c r="J698">
        <v>2.0365594491904901</v>
      </c>
      <c r="K698">
        <v>1</v>
      </c>
      <c r="L698">
        <f t="shared" si="40"/>
        <v>4.089620129016164</v>
      </c>
      <c r="M698" t="s">
        <v>1392</v>
      </c>
      <c r="N698">
        <v>454</v>
      </c>
      <c r="O698">
        <v>76</v>
      </c>
      <c r="P698">
        <v>1365</v>
      </c>
      <c r="Q698">
        <v>1398.05789523303</v>
      </c>
      <c r="R698">
        <v>1764.5426306096199</v>
      </c>
      <c r="S698" t="s">
        <v>1427</v>
      </c>
      <c r="T698">
        <v>0</v>
      </c>
      <c r="U698">
        <v>0</v>
      </c>
      <c r="V698">
        <v>0</v>
      </c>
      <c r="W698">
        <v>18026.831999999999</v>
      </c>
      <c r="X698">
        <v>9.7884233381085595E-2</v>
      </c>
      <c r="Y698">
        <v>9.5897102355957031</v>
      </c>
      <c r="Z698">
        <v>8.9617595672607422</v>
      </c>
      <c r="AA698">
        <f t="shared" si="41"/>
        <v>0.45579700614914709</v>
      </c>
      <c r="AB698">
        <f t="shared" si="42"/>
        <v>-0.78785404181448282</v>
      </c>
      <c r="AC698" s="13">
        <f t="shared" si="43"/>
        <v>0.90252880248866385</v>
      </c>
      <c r="AD698" s="13"/>
      <c r="AE698" s="13"/>
      <c r="AF698" s="13"/>
    </row>
    <row r="699" spans="1:32">
      <c r="A699" s="1" t="s">
        <v>1428</v>
      </c>
      <c r="B699">
        <v>129.40792405108652</v>
      </c>
      <c r="C699">
        <v>24.194624219736557</v>
      </c>
      <c r="D699">
        <v>5221.1522333333332</v>
      </c>
      <c r="E699">
        <v>18546.252000000004</v>
      </c>
      <c r="F699">
        <v>13325.099766666666</v>
      </c>
      <c r="G699">
        <v>0.66087844739530133</v>
      </c>
      <c r="H699">
        <v>8.7563869424601648E-2</v>
      </c>
      <c r="I699">
        <v>8.2312577591092158</v>
      </c>
      <c r="J699">
        <v>1.4230959442766224</v>
      </c>
      <c r="K699">
        <v>1</v>
      </c>
      <c r="L699">
        <f t="shared" si="40"/>
        <v>4.1246704693271736</v>
      </c>
      <c r="M699" t="s">
        <v>1392</v>
      </c>
      <c r="N699">
        <v>989</v>
      </c>
      <c r="O699">
        <v>68</v>
      </c>
      <c r="P699">
        <v>2970</v>
      </c>
      <c r="Q699">
        <v>574.90578520082499</v>
      </c>
      <c r="R699">
        <v>725.610698977428</v>
      </c>
      <c r="S699" t="s">
        <v>1429</v>
      </c>
      <c r="T699">
        <v>2</v>
      </c>
      <c r="U699">
        <v>244.887963756581</v>
      </c>
      <c r="V699">
        <v>0.14342151700890901</v>
      </c>
      <c r="W699">
        <v>19924.613000000001</v>
      </c>
      <c r="X699">
        <v>3.6417806407453297E-2</v>
      </c>
      <c r="AA699">
        <f t="shared" si="41"/>
        <v>0.52396707389897335</v>
      </c>
      <c r="AB699">
        <f t="shared" si="42"/>
        <v>-0.78477357883239263</v>
      </c>
      <c r="AC699" s="13">
        <f t="shared" si="43"/>
        <v>0.10387743641405672</v>
      </c>
      <c r="AD699" s="13"/>
      <c r="AE699" s="13"/>
      <c r="AF699" s="13"/>
    </row>
    <row r="700" spans="1:32">
      <c r="A700" s="1" t="s">
        <v>1430</v>
      </c>
      <c r="B700">
        <v>2636.011903059371</v>
      </c>
      <c r="C700">
        <v>632.07780135127643</v>
      </c>
      <c r="D700">
        <v>8262.7284</v>
      </c>
      <c r="E700">
        <v>23316.968333333334</v>
      </c>
      <c r="F700">
        <v>15054.239933333332</v>
      </c>
      <c r="G700">
        <v>0.67380952380952386</v>
      </c>
      <c r="H700">
        <v>4.3999811667671591E-2</v>
      </c>
      <c r="I700">
        <v>5.6196290894582157</v>
      </c>
      <c r="J700">
        <v>1.3639962194455999</v>
      </c>
      <c r="K700">
        <v>1</v>
      </c>
      <c r="L700">
        <f t="shared" si="40"/>
        <v>4.1776588335059008</v>
      </c>
      <c r="M700" t="s">
        <v>1392</v>
      </c>
      <c r="N700">
        <v>570</v>
      </c>
      <c r="O700">
        <v>9</v>
      </c>
      <c r="P700">
        <v>1713</v>
      </c>
      <c r="Q700">
        <v>131.92568626092901</v>
      </c>
      <c r="R700">
        <v>166.50848171136499</v>
      </c>
      <c r="S700" t="s">
        <v>1431</v>
      </c>
      <c r="T700">
        <v>0</v>
      </c>
      <c r="U700">
        <v>0</v>
      </c>
      <c r="V700">
        <v>0</v>
      </c>
      <c r="W700">
        <v>23852.967000000001</v>
      </c>
      <c r="X700">
        <v>6.9806192961808502E-3</v>
      </c>
      <c r="Y700">
        <v>8.9961576461791992</v>
      </c>
      <c r="Z700">
        <v>6.2937960624694824</v>
      </c>
      <c r="AA700">
        <f t="shared" si="41"/>
        <v>0.6380584552427162</v>
      </c>
      <c r="AB700">
        <f t="shared" si="42"/>
        <v>-0.78925912701639689</v>
      </c>
      <c r="AC700" s="13">
        <f t="shared" si="43"/>
        <v>-0.32591756362350743</v>
      </c>
      <c r="AD700" s="13"/>
      <c r="AE700" s="13"/>
      <c r="AF700" s="13"/>
    </row>
    <row r="701" spans="1:32">
      <c r="A701" s="1" t="s">
        <v>1432</v>
      </c>
      <c r="B701">
        <v>1176.4188326043782</v>
      </c>
      <c r="C701">
        <v>314.24602688218823</v>
      </c>
      <c r="D701">
        <v>1267.8424133333333</v>
      </c>
      <c r="E701">
        <v>18227.660666666667</v>
      </c>
      <c r="F701">
        <v>16959.818253333331</v>
      </c>
      <c r="G701">
        <v>0.60125060125060126</v>
      </c>
      <c r="H701">
        <v>8.260371745331696E-2</v>
      </c>
      <c r="I701">
        <v>32.880407792559261</v>
      </c>
      <c r="J701">
        <v>16.805279497593947</v>
      </c>
      <c r="K701">
        <v>1</v>
      </c>
      <c r="L701">
        <f t="shared" si="40"/>
        <v>4.2294211939114161</v>
      </c>
      <c r="M701" t="s">
        <v>1392</v>
      </c>
      <c r="N701">
        <v>703</v>
      </c>
      <c r="O701">
        <v>54</v>
      </c>
      <c r="P701">
        <v>2112</v>
      </c>
      <c r="Q701">
        <v>642.01335387775998</v>
      </c>
      <c r="R701">
        <v>810.30974196468298</v>
      </c>
      <c r="S701" t="s">
        <v>1433</v>
      </c>
      <c r="T701">
        <v>3</v>
      </c>
      <c r="U701">
        <v>367.331945634872</v>
      </c>
      <c r="V701">
        <v>0.27090730990571799</v>
      </c>
      <c r="W701">
        <v>18675.544999999998</v>
      </c>
      <c r="X701">
        <v>4.33888136578977E-2</v>
      </c>
      <c r="Y701">
        <v>5.5310616493225098</v>
      </c>
      <c r="Z701">
        <v>8.1745338439941406</v>
      </c>
      <c r="AA701">
        <f t="shared" si="41"/>
        <v>0.76379150278772756</v>
      </c>
      <c r="AB701">
        <f t="shared" si="42"/>
        <v>-0.78528429803103394</v>
      </c>
      <c r="AC701" s="13">
        <f t="shared" si="43"/>
        <v>0.16898757917452753</v>
      </c>
      <c r="AD701" s="13"/>
      <c r="AE701" s="13"/>
      <c r="AF701" s="13"/>
    </row>
    <row r="702" spans="1:32">
      <c r="A702" s="1" t="s">
        <v>1434</v>
      </c>
      <c r="B702">
        <v>6416.5246851346164</v>
      </c>
      <c r="C702">
        <v>29.340542153911326</v>
      </c>
      <c r="D702">
        <v>86781.52</v>
      </c>
      <c r="E702">
        <v>107991.058</v>
      </c>
      <c r="F702">
        <v>21209.53799999999</v>
      </c>
      <c r="G702">
        <v>0.53205128205128205</v>
      </c>
      <c r="H702">
        <v>5.8881460634687431E-2</v>
      </c>
      <c r="I702">
        <v>20.944726846330902</v>
      </c>
      <c r="J702">
        <v>7.2131690409241775</v>
      </c>
      <c r="K702">
        <v>1</v>
      </c>
      <c r="L702">
        <f t="shared" si="40"/>
        <v>4.3265312085337282</v>
      </c>
      <c r="M702" t="s">
        <v>1392</v>
      </c>
      <c r="N702">
        <v>478</v>
      </c>
      <c r="O702">
        <v>31</v>
      </c>
      <c r="P702">
        <v>1437</v>
      </c>
      <c r="Q702">
        <v>541.68790825903602</v>
      </c>
      <c r="R702">
        <v>683.68513912615902</v>
      </c>
      <c r="S702" t="s">
        <v>1435</v>
      </c>
      <c r="T702">
        <v>5</v>
      </c>
      <c r="U702">
        <v>612.21990939145303</v>
      </c>
      <c r="V702">
        <v>0.786505093274665</v>
      </c>
      <c r="W702">
        <v>109256.734</v>
      </c>
      <c r="X702">
        <v>6.2576018346490103E-3</v>
      </c>
      <c r="Y702">
        <v>8.779871940612793</v>
      </c>
      <c r="Z702">
        <v>9.9397411346435547</v>
      </c>
      <c r="AA702">
        <f t="shared" si="41"/>
        <v>1.0441946797931276</v>
      </c>
      <c r="AB702">
        <f t="shared" si="42"/>
        <v>-0.78772684657843961</v>
      </c>
      <c r="AC702" s="13">
        <f t="shared" si="43"/>
        <v>7.1648274301333706E-2</v>
      </c>
      <c r="AD702" s="13"/>
      <c r="AE702" s="13"/>
      <c r="AF702" s="13"/>
    </row>
    <row r="703" spans="1:32">
      <c r="A703" s="1" t="s">
        <v>1436</v>
      </c>
      <c r="B703">
        <v>6308.643852344986</v>
      </c>
      <c r="C703">
        <v>77.772205440988756</v>
      </c>
      <c r="D703">
        <v>16429.824666666667</v>
      </c>
      <c r="E703">
        <v>43764.948000000004</v>
      </c>
      <c r="F703">
        <v>27335.123333333333</v>
      </c>
      <c r="G703">
        <v>0.56298096395301744</v>
      </c>
      <c r="H703">
        <v>5.9142550692848343E-2</v>
      </c>
      <c r="I703">
        <v>0.10986941615681377</v>
      </c>
      <c r="J703">
        <v>1.9148069644360544E-2</v>
      </c>
      <c r="K703">
        <v>1</v>
      </c>
      <c r="L703">
        <f t="shared" si="40"/>
        <v>4.4367210377251167</v>
      </c>
      <c r="M703" t="s">
        <v>1392</v>
      </c>
      <c r="N703">
        <v>833</v>
      </c>
      <c r="O703">
        <v>6</v>
      </c>
      <c r="P703">
        <v>2502</v>
      </c>
      <c r="Q703">
        <v>60.215481099113099</v>
      </c>
      <c r="R703">
        <v>76.000274226370493</v>
      </c>
      <c r="S703" t="s">
        <v>1437</v>
      </c>
      <c r="T703">
        <v>4</v>
      </c>
      <c r="U703">
        <v>489.775927513162</v>
      </c>
      <c r="V703">
        <v>3.2508877188686101</v>
      </c>
      <c r="W703">
        <v>46930.266000000003</v>
      </c>
      <c r="X703">
        <v>1.6194298627323E-3</v>
      </c>
      <c r="Y703">
        <v>5.4320468902587891</v>
      </c>
      <c r="Z703">
        <v>8.2564849853515625</v>
      </c>
      <c r="AA703">
        <f t="shared" si="41"/>
        <v>1.4483704115767604</v>
      </c>
      <c r="AB703">
        <f t="shared" si="42"/>
        <v>-0.7876999635905696</v>
      </c>
      <c r="AC703" s="13">
        <f t="shared" si="43"/>
        <v>-0.39549334751080611</v>
      </c>
      <c r="AD703" s="13"/>
      <c r="AE703" s="13"/>
      <c r="AF703" s="13"/>
    </row>
    <row r="704" spans="1:32">
      <c r="A704" s="1" t="s">
        <v>1438</v>
      </c>
      <c r="B704">
        <v>2384.678467501843</v>
      </c>
      <c r="C704">
        <v>555.85622076753475</v>
      </c>
      <c r="D704">
        <v>10803.135333333334</v>
      </c>
      <c r="E704">
        <v>41337.705333333332</v>
      </c>
      <c r="F704">
        <v>30534.569999999996</v>
      </c>
      <c r="G704">
        <v>0.57339821573398209</v>
      </c>
      <c r="H704">
        <v>5.4276537482881838E-2</v>
      </c>
      <c r="I704">
        <v>13.542043988254173</v>
      </c>
      <c r="J704">
        <v>1.5811938445484355</v>
      </c>
      <c r="K704">
        <v>1</v>
      </c>
      <c r="L704">
        <f t="shared" si="40"/>
        <v>4.484791808466742</v>
      </c>
      <c r="M704" t="s">
        <v>1392</v>
      </c>
      <c r="N704">
        <v>421</v>
      </c>
      <c r="O704">
        <v>48</v>
      </c>
      <c r="P704">
        <v>1266</v>
      </c>
      <c r="Q704">
        <v>952.03244050541002</v>
      </c>
      <c r="R704">
        <v>1201.59675269749</v>
      </c>
      <c r="S704" t="s">
        <v>1439</v>
      </c>
      <c r="T704">
        <v>2</v>
      </c>
      <c r="U704">
        <v>244.887963756581</v>
      </c>
      <c r="V704">
        <v>0.20318048242928799</v>
      </c>
      <c r="W704">
        <v>44909.21</v>
      </c>
      <c r="X704">
        <v>2.6756132042792501E-2</v>
      </c>
      <c r="Y704">
        <v>9.5597066879272461</v>
      </c>
      <c r="Z704">
        <v>11.217813491821291</v>
      </c>
      <c r="AA704">
        <f t="shared" si="41"/>
        <v>1.6594749228086723</v>
      </c>
      <c r="AB704">
        <f t="shared" si="42"/>
        <v>-0.78820098984572451</v>
      </c>
      <c r="AC704" s="13">
        <f t="shared" si="43"/>
        <v>0.46977909027772774</v>
      </c>
      <c r="AD704" s="13"/>
      <c r="AE704" s="13"/>
      <c r="AF704" s="13"/>
    </row>
    <row r="705" spans="1:32">
      <c r="A705" s="1" t="s">
        <v>1440</v>
      </c>
      <c r="B705">
        <v>6470.3118414932769</v>
      </c>
      <c r="C705">
        <v>56.425682250407171</v>
      </c>
      <c r="D705">
        <v>964.47786333333352</v>
      </c>
      <c r="E705">
        <v>31807.008000000002</v>
      </c>
      <c r="F705">
        <v>30842.530136666668</v>
      </c>
      <c r="G705">
        <v>0.57377049180327866</v>
      </c>
      <c r="H705">
        <v>6.8287312215371154E-2</v>
      </c>
      <c r="I705">
        <v>4.214127788789753</v>
      </c>
      <c r="J705">
        <v>1.7460508917037461</v>
      </c>
      <c r="K705">
        <v>1</v>
      </c>
      <c r="L705">
        <f t="shared" si="40"/>
        <v>4.4891499977615741</v>
      </c>
      <c r="M705" t="s">
        <v>1392</v>
      </c>
      <c r="N705">
        <v>559</v>
      </c>
      <c r="O705">
        <v>14</v>
      </c>
      <c r="P705">
        <v>1680</v>
      </c>
      <c r="Q705">
        <v>209.248796819418</v>
      </c>
      <c r="R705">
        <v>264.10095293663699</v>
      </c>
      <c r="S705" t="s">
        <v>1441</v>
      </c>
      <c r="T705">
        <v>1</v>
      </c>
      <c r="U705">
        <v>122.44398187829</v>
      </c>
      <c r="V705">
        <v>0.34830939845020897</v>
      </c>
      <c r="W705">
        <v>35854.633000000002</v>
      </c>
      <c r="X705">
        <v>7.3658808036506001E-3</v>
      </c>
      <c r="Y705">
        <v>5.5499887466430664</v>
      </c>
      <c r="Z705">
        <v>8.5107908248901367</v>
      </c>
      <c r="AA705">
        <f t="shared" si="41"/>
        <v>1.679794615837862</v>
      </c>
      <c r="AB705">
        <f t="shared" si="42"/>
        <v>-0.78675837847310015</v>
      </c>
      <c r="AC705" s="13">
        <f t="shared" si="43"/>
        <v>-0.25089593988708886</v>
      </c>
      <c r="AD705" s="13"/>
      <c r="AE705" s="13"/>
      <c r="AF705" s="13"/>
    </row>
    <row r="706" spans="1:32">
      <c r="A706" s="1" t="s">
        <v>1442</v>
      </c>
      <c r="B706">
        <v>6434.9513713891802</v>
      </c>
      <c r="C706">
        <v>30.03533005951823</v>
      </c>
      <c r="D706">
        <v>24901.384666666665</v>
      </c>
      <c r="E706">
        <v>73419.684666666668</v>
      </c>
      <c r="F706">
        <v>48518.299999999996</v>
      </c>
      <c r="G706">
        <v>0.62374821173104433</v>
      </c>
      <c r="H706">
        <v>4.5762422951758829E-2</v>
      </c>
      <c r="I706">
        <v>19.694710647238932</v>
      </c>
      <c r="J706">
        <v>10.070147045950531</v>
      </c>
      <c r="K706">
        <v>1</v>
      </c>
      <c r="L706">
        <f t="shared" ref="L706:L767" si="44">LOG10(F706)</f>
        <v>4.6859055755095911</v>
      </c>
      <c r="M706" t="s">
        <v>1392</v>
      </c>
      <c r="N706">
        <v>476</v>
      </c>
      <c r="O706">
        <v>59</v>
      </c>
      <c r="P706">
        <v>1431</v>
      </c>
      <c r="Q706">
        <v>1035.27706602479</v>
      </c>
      <c r="R706">
        <v>1306.6629956613499</v>
      </c>
      <c r="S706" t="s">
        <v>1443</v>
      </c>
      <c r="T706">
        <v>6</v>
      </c>
      <c r="U706">
        <v>734.663891269744</v>
      </c>
      <c r="V706">
        <v>0.49589812660707699</v>
      </c>
      <c r="W706">
        <v>69574.17</v>
      </c>
      <c r="X706">
        <v>1.8780863582869199E-2</v>
      </c>
      <c r="Y706">
        <v>9.5087718963623047</v>
      </c>
      <c r="Z706">
        <v>8.9935846328735352</v>
      </c>
      <c r="AA706">
        <f t="shared" ref="AA706:AA767" si="45">(F706-AVERAGE(F:F))/_xlfn.STDEV.P(F:F)</f>
        <v>2.8460696459931007</v>
      </c>
      <c r="AB706">
        <f t="shared" ref="AB706:AB767" si="46">(H706-AVERAGE(H:H))/_xlfn.STDEV.P(H:H)</f>
        <v>-0.78907764075796438</v>
      </c>
      <c r="AC706" s="13">
        <f t="shared" ref="AC706:AC767" si="47">(Q706-AVERAGE(Q:Q))/_xlfn.STDEV.P(Q:Q)</f>
        <v>0.55054597780574588</v>
      </c>
      <c r="AD706" s="13"/>
      <c r="AE706" s="13"/>
      <c r="AF706" s="13"/>
    </row>
    <row r="707" spans="1:32">
      <c r="A707" s="1" t="s">
        <v>1444</v>
      </c>
      <c r="B707">
        <v>343.70167032063318</v>
      </c>
      <c r="C707">
        <v>12.86067335188307</v>
      </c>
      <c r="D707">
        <v>602765.41333333321</v>
      </c>
      <c r="E707">
        <v>652668.54666666663</v>
      </c>
      <c r="F707">
        <v>49903.133333333339</v>
      </c>
      <c r="G707">
        <v>0.48261758691206547</v>
      </c>
      <c r="H707">
        <v>1.2327289473748759</v>
      </c>
      <c r="I707">
        <v>9.9034873611015914</v>
      </c>
      <c r="J707">
        <v>4.4788627097270055</v>
      </c>
      <c r="K707">
        <v>9.0663641824496724E-16</v>
      </c>
      <c r="L707">
        <f t="shared" si="44"/>
        <v>4.6981278150954324</v>
      </c>
      <c r="M707" t="s">
        <v>1392</v>
      </c>
      <c r="N707">
        <v>662</v>
      </c>
      <c r="O707">
        <v>48</v>
      </c>
      <c r="P707">
        <v>1989</v>
      </c>
      <c r="Q707">
        <v>605.969366354876</v>
      </c>
      <c r="R707">
        <v>764.81723927352004</v>
      </c>
      <c r="S707" t="s">
        <v>1445</v>
      </c>
      <c r="T707">
        <v>0</v>
      </c>
      <c r="U707">
        <v>0</v>
      </c>
      <c r="V707">
        <v>0</v>
      </c>
      <c r="W707">
        <v>636299.6</v>
      </c>
      <c r="X707">
        <v>1.2019766149051799E-3</v>
      </c>
      <c r="Y707">
        <v>5.5950965881347656</v>
      </c>
      <c r="Z707">
        <v>8.2709217071533203</v>
      </c>
      <c r="AA707">
        <f t="shared" si="45"/>
        <v>2.9374431222309694</v>
      </c>
      <c r="AB707">
        <f t="shared" si="46"/>
        <v>-0.66686231435731569</v>
      </c>
      <c r="AC707" s="13">
        <f t="shared" si="47"/>
        <v>0.13401642436232503</v>
      </c>
      <c r="AD707" s="13"/>
      <c r="AE707" s="13"/>
      <c r="AF707" s="13"/>
    </row>
    <row r="708" spans="1:32">
      <c r="A708" s="1" t="s">
        <v>1446</v>
      </c>
      <c r="B708">
        <v>6417.183689417303</v>
      </c>
      <c r="C708">
        <v>108.81003404849119</v>
      </c>
      <c r="D708">
        <v>188056.58333333334</v>
      </c>
      <c r="E708">
        <v>285014.90666666668</v>
      </c>
      <c r="F708">
        <v>96958.323333333319</v>
      </c>
      <c r="G708">
        <v>0.58123752495009984</v>
      </c>
      <c r="H708">
        <v>6.9774582870613333E-2</v>
      </c>
      <c r="I708">
        <v>18.347662424760248</v>
      </c>
      <c r="J708">
        <v>5.1534854067681817</v>
      </c>
      <c r="K708">
        <v>1</v>
      </c>
      <c r="L708">
        <f t="shared" si="44"/>
        <v>4.9865850967832541</v>
      </c>
      <c r="M708" t="s">
        <v>1392</v>
      </c>
      <c r="N708">
        <v>845</v>
      </c>
      <c r="O708">
        <v>27</v>
      </c>
      <c r="P708">
        <v>2538</v>
      </c>
      <c r="Q708">
        <v>267.12612359925703</v>
      </c>
      <c r="R708">
        <v>337.15015268506897</v>
      </c>
      <c r="S708" t="s">
        <v>1447</v>
      </c>
      <c r="T708">
        <v>8</v>
      </c>
      <c r="U708">
        <v>979.55185502632503</v>
      </c>
      <c r="V708">
        <v>1.44483898616383</v>
      </c>
      <c r="W708">
        <v>305884.71999999997</v>
      </c>
      <c r="X708">
        <v>1.1022131235750099E-3</v>
      </c>
      <c r="Y708">
        <v>5.5054149627685547</v>
      </c>
      <c r="Z708">
        <v>8.2410335540771484</v>
      </c>
      <c r="AA708">
        <f t="shared" si="45"/>
        <v>6.0422183914571335</v>
      </c>
      <c r="AB708">
        <f t="shared" si="46"/>
        <v>-0.7866052425043627</v>
      </c>
      <c r="AC708" s="13">
        <f t="shared" si="47"/>
        <v>-0.19474130511896995</v>
      </c>
      <c r="AD708" s="13"/>
      <c r="AE708" s="13"/>
      <c r="AF708" s="13"/>
    </row>
    <row r="709" spans="1:32">
      <c r="A709" s="1" t="s">
        <v>1448</v>
      </c>
      <c r="B709">
        <v>1052.1864696037626</v>
      </c>
      <c r="C709">
        <v>92.840872902915848</v>
      </c>
      <c r="D709">
        <v>6277.9224466666674</v>
      </c>
      <c r="E709">
        <v>5345.392733333334</v>
      </c>
      <c r="F709">
        <v>-932.52971333333278</v>
      </c>
      <c r="G709">
        <v>0.3714975845410628</v>
      </c>
      <c r="H709">
        <v>18.046070982988184</v>
      </c>
      <c r="I709">
        <v>1.8572852810777063</v>
      </c>
      <c r="J709">
        <v>0.82069330705169086</v>
      </c>
      <c r="K709">
        <v>0</v>
      </c>
      <c r="L709" t="e">
        <f t="shared" si="44"/>
        <v>#NUM!</v>
      </c>
      <c r="M709" t="s">
        <v>1392</v>
      </c>
      <c r="N709">
        <v>700</v>
      </c>
      <c r="O709">
        <v>63</v>
      </c>
      <c r="P709">
        <v>2103</v>
      </c>
      <c r="Q709">
        <v>752.22106702558301</v>
      </c>
      <c r="R709">
        <v>949.40713466523005</v>
      </c>
      <c r="S709" t="s">
        <v>1449</v>
      </c>
      <c r="T709">
        <v>0</v>
      </c>
      <c r="U709">
        <v>0</v>
      </c>
      <c r="V709">
        <v>0</v>
      </c>
      <c r="W709">
        <v>10235.868</v>
      </c>
      <c r="X709">
        <v>9.2752967766410205E-2</v>
      </c>
      <c r="Y709">
        <v>5.5025234222412109</v>
      </c>
      <c r="Z709">
        <v>8.347163200378418</v>
      </c>
      <c r="AA709">
        <f t="shared" si="45"/>
        <v>-0.41677369045228979</v>
      </c>
      <c r="AB709">
        <f t="shared" si="46"/>
        <v>1.0643137908550144</v>
      </c>
      <c r="AC709" s="13">
        <f t="shared" si="47"/>
        <v>0.27591501042903005</v>
      </c>
      <c r="AD709" s="13"/>
      <c r="AE709" s="13"/>
      <c r="AF709" s="13"/>
    </row>
    <row r="710" spans="1:32">
      <c r="A710" s="1" t="s">
        <v>1450</v>
      </c>
      <c r="B710">
        <v>5004.5638344766421</v>
      </c>
      <c r="C710">
        <v>717.60306668424573</v>
      </c>
      <c r="D710">
        <v>10605.870333333334</v>
      </c>
      <c r="E710">
        <v>9417.9223666666676</v>
      </c>
      <c r="F710">
        <v>-1187.9479666666659</v>
      </c>
      <c r="G710">
        <v>0.47538677918424754</v>
      </c>
      <c r="H710">
        <v>0.88921600444028337</v>
      </c>
      <c r="I710">
        <v>5.7908320903824047</v>
      </c>
      <c r="J710">
        <v>4.073417918253857</v>
      </c>
      <c r="K710">
        <v>1</v>
      </c>
      <c r="L710" t="e">
        <f t="shared" si="44"/>
        <v>#NUM!</v>
      </c>
      <c r="M710" t="s">
        <v>1392</v>
      </c>
      <c r="N710">
        <v>484</v>
      </c>
      <c r="O710">
        <v>34</v>
      </c>
      <c r="P710">
        <v>1455</v>
      </c>
      <c r="Q710">
        <v>586.75951273073997</v>
      </c>
      <c r="R710">
        <v>740.57174431716896</v>
      </c>
      <c r="S710" t="s">
        <v>1451</v>
      </c>
      <c r="T710">
        <v>0</v>
      </c>
      <c r="U710">
        <v>0</v>
      </c>
      <c r="V710">
        <v>0</v>
      </c>
      <c r="W710">
        <v>15026.796</v>
      </c>
      <c r="X710">
        <v>4.9283409737988601E-2</v>
      </c>
      <c r="Y710">
        <v>8.8323612213134766</v>
      </c>
      <c r="Z710">
        <v>10.583723068237299</v>
      </c>
      <c r="AA710">
        <f t="shared" si="45"/>
        <v>-0.43362658757709743</v>
      </c>
      <c r="AB710">
        <f t="shared" si="46"/>
        <v>-0.70223192721476568</v>
      </c>
      <c r="AC710" s="13">
        <f t="shared" si="47"/>
        <v>0.115378343196003</v>
      </c>
      <c r="AD710" s="13"/>
      <c r="AE710" s="13"/>
      <c r="AF710" s="13"/>
    </row>
    <row r="711" spans="1:32">
      <c r="A711" s="1" t="s">
        <v>1452</v>
      </c>
      <c r="B711">
        <v>6410.4557787374097</v>
      </c>
      <c r="C711">
        <v>68.44491310309121</v>
      </c>
      <c r="D711">
        <v>1313.1413533333332</v>
      </c>
      <c r="E711">
        <v>1732.5180466666668</v>
      </c>
      <c r="F711">
        <v>419.37669333333332</v>
      </c>
      <c r="G711">
        <v>0.52077294685990339</v>
      </c>
      <c r="H711">
        <v>6.0889086618145634E-2</v>
      </c>
      <c r="I711">
        <v>28.943824166887797</v>
      </c>
      <c r="J711">
        <v>4.8245917904172471</v>
      </c>
      <c r="K711">
        <v>1</v>
      </c>
      <c r="L711">
        <f t="shared" si="44"/>
        <v>2.622604291084067</v>
      </c>
      <c r="M711" t="s">
        <v>1453</v>
      </c>
      <c r="N711">
        <v>355</v>
      </c>
      <c r="O711">
        <v>43</v>
      </c>
      <c r="P711">
        <v>1068</v>
      </c>
      <c r="Q711">
        <v>1010.97733294775</v>
      </c>
      <c r="R711">
        <v>1275.9933681208299</v>
      </c>
      <c r="S711" t="s">
        <v>1454</v>
      </c>
      <c r="T711">
        <v>0</v>
      </c>
      <c r="U711">
        <v>0</v>
      </c>
      <c r="V711">
        <v>0</v>
      </c>
      <c r="W711">
        <v>3426.491</v>
      </c>
      <c r="X711">
        <v>0.37239069593961599</v>
      </c>
      <c r="Y711">
        <v>11.531185150146481</v>
      </c>
      <c r="Z711">
        <v>8.7837533950805664</v>
      </c>
      <c r="AA711">
        <f t="shared" si="45"/>
        <v>-0.32757278450063859</v>
      </c>
      <c r="AB711">
        <f t="shared" si="46"/>
        <v>-0.78752013252222131</v>
      </c>
      <c r="AC711" s="13">
        <f t="shared" si="47"/>
        <v>0.52696951510741541</v>
      </c>
      <c r="AD711" s="13"/>
      <c r="AE711" s="13"/>
      <c r="AF711" s="13"/>
    </row>
    <row r="712" spans="1:32">
      <c r="A712" s="1" t="s">
        <v>1455</v>
      </c>
      <c r="B712">
        <v>6449.1386819178924</v>
      </c>
      <c r="C712">
        <v>91.266889202287643</v>
      </c>
      <c r="D712">
        <v>8604.728666666666</v>
      </c>
      <c r="E712">
        <v>9658.0701666666664</v>
      </c>
      <c r="F712">
        <v>1053.3415000000005</v>
      </c>
      <c r="G712">
        <v>0.60894495412844041</v>
      </c>
      <c r="H712">
        <v>6.0135191541602163E-2</v>
      </c>
      <c r="I712">
        <v>19.126685993448614</v>
      </c>
      <c r="J712">
        <v>2.8098472730467967</v>
      </c>
      <c r="K712">
        <v>1</v>
      </c>
      <c r="L712">
        <f t="shared" si="44"/>
        <v>3.0225691950422728</v>
      </c>
      <c r="M712" t="s">
        <v>1453</v>
      </c>
      <c r="N712">
        <v>882</v>
      </c>
      <c r="O712">
        <v>26</v>
      </c>
      <c r="P712">
        <v>2649</v>
      </c>
      <c r="Q712">
        <v>246.453849028533</v>
      </c>
      <c r="R712">
        <v>311.058880015971</v>
      </c>
      <c r="S712" t="s">
        <v>1456</v>
      </c>
      <c r="T712">
        <v>0</v>
      </c>
      <c r="U712">
        <v>0</v>
      </c>
      <c r="V712">
        <v>0</v>
      </c>
      <c r="W712">
        <v>10178.776</v>
      </c>
      <c r="X712">
        <v>3.05595564747639E-2</v>
      </c>
      <c r="Y712">
        <v>5.8771038055419922</v>
      </c>
      <c r="Z712">
        <v>8.2322053909301758</v>
      </c>
      <c r="AA712">
        <f t="shared" si="45"/>
        <v>-0.28574279181973744</v>
      </c>
      <c r="AB712">
        <f t="shared" si="46"/>
        <v>-0.78759775689574474</v>
      </c>
      <c r="AC712" s="13">
        <f t="shared" si="47"/>
        <v>-0.21479827894502523</v>
      </c>
      <c r="AD712" s="13"/>
      <c r="AE712" s="13"/>
      <c r="AF712" s="13"/>
    </row>
    <row r="713" spans="1:32">
      <c r="A713" s="1" t="s">
        <v>1457</v>
      </c>
      <c r="B713">
        <v>158.00783045145127</v>
      </c>
      <c r="C713">
        <v>23.765276622991319</v>
      </c>
      <c r="D713">
        <v>5566.7906333333331</v>
      </c>
      <c r="E713">
        <v>8244.259133333333</v>
      </c>
      <c r="F713">
        <v>2677.4684999999999</v>
      </c>
      <c r="G713">
        <v>0.41432685385169188</v>
      </c>
      <c r="H713">
        <v>0.26201499883196805</v>
      </c>
      <c r="I713">
        <v>12.084048750006124</v>
      </c>
      <c r="J713">
        <v>2.9642340601248711</v>
      </c>
      <c r="K713">
        <v>1</v>
      </c>
      <c r="L713">
        <f t="shared" si="44"/>
        <v>3.4277243701269922</v>
      </c>
      <c r="M713" t="s">
        <v>1453</v>
      </c>
      <c r="N713">
        <v>936</v>
      </c>
      <c r="O713">
        <v>21</v>
      </c>
      <c r="P713">
        <v>2811</v>
      </c>
      <c r="Q713">
        <v>187.58696833330899</v>
      </c>
      <c r="R713">
        <v>236.760726218543</v>
      </c>
      <c r="S713" t="s">
        <v>1458</v>
      </c>
      <c r="T713">
        <v>0</v>
      </c>
      <c r="U713">
        <v>0</v>
      </c>
      <c r="V713">
        <v>0</v>
      </c>
      <c r="W713">
        <v>11641.205</v>
      </c>
      <c r="X713">
        <v>2.0338163121304299E-2</v>
      </c>
      <c r="Y713">
        <v>5.8523812294006348</v>
      </c>
      <c r="Z713">
        <v>7.7507419586181641</v>
      </c>
      <c r="AA713">
        <f t="shared" si="45"/>
        <v>-0.17858034398598127</v>
      </c>
      <c r="AB713">
        <f t="shared" si="46"/>
        <v>-0.76681131849666395</v>
      </c>
      <c r="AC713" s="13">
        <f t="shared" si="47"/>
        <v>-0.27191301401136941</v>
      </c>
      <c r="AD713" s="13"/>
      <c r="AE713" s="13"/>
      <c r="AF713" s="13"/>
    </row>
    <row r="714" spans="1:32">
      <c r="A714" s="1" t="s">
        <v>1459</v>
      </c>
      <c r="B714">
        <v>6473.2394217264618</v>
      </c>
      <c r="C714">
        <v>94.765803571626321</v>
      </c>
      <c r="D714">
        <v>38477.625766666664</v>
      </c>
      <c r="E714">
        <v>46524.315333333332</v>
      </c>
      <c r="F714">
        <v>8046.6895666666678</v>
      </c>
      <c r="G714">
        <v>0.51074681238615671</v>
      </c>
      <c r="H714">
        <v>9.6784867484940362E-2</v>
      </c>
      <c r="I714">
        <v>29.989043438704542</v>
      </c>
      <c r="J714">
        <v>15.04539219946377</v>
      </c>
      <c r="K714">
        <v>1</v>
      </c>
      <c r="L714">
        <f t="shared" si="44"/>
        <v>3.9056172469981076</v>
      </c>
      <c r="M714" t="s">
        <v>1453</v>
      </c>
      <c r="N714">
        <v>925</v>
      </c>
      <c r="O714">
        <v>12</v>
      </c>
      <c r="P714">
        <v>2778</v>
      </c>
      <c r="Q714">
        <v>108.465898999266</v>
      </c>
      <c r="R714">
        <v>136.898982083786</v>
      </c>
      <c r="S714" t="s">
        <v>1460</v>
      </c>
      <c r="T714">
        <v>1</v>
      </c>
      <c r="U714">
        <v>122.44398187829</v>
      </c>
      <c r="V714">
        <v>0.40636096485857698</v>
      </c>
      <c r="W714">
        <v>79630.039999999994</v>
      </c>
      <c r="X714">
        <v>1.7191876593781201E-3</v>
      </c>
      <c r="Y714">
        <v>5.6939349174499512</v>
      </c>
      <c r="Z714">
        <v>8.0965471267700195</v>
      </c>
      <c r="AA714">
        <f t="shared" si="45"/>
        <v>0.17568928669226708</v>
      </c>
      <c r="AB714">
        <f t="shared" si="46"/>
        <v>-0.78382414406359679</v>
      </c>
      <c r="AC714" s="13">
        <f t="shared" si="47"/>
        <v>-0.34867908110733403</v>
      </c>
      <c r="AD714" s="13"/>
      <c r="AE714" s="13"/>
      <c r="AF714" s="13"/>
    </row>
    <row r="715" spans="1:32">
      <c r="A715" s="1" t="s">
        <v>1461</v>
      </c>
      <c r="B715">
        <v>6389.5650803947892</v>
      </c>
      <c r="C715">
        <v>15.60536131680227</v>
      </c>
      <c r="D715">
        <v>22145.628000000001</v>
      </c>
      <c r="E715">
        <v>33725.279999999999</v>
      </c>
      <c r="F715">
        <v>11579.651999999996</v>
      </c>
      <c r="G715">
        <v>0.51384148653773232</v>
      </c>
      <c r="H715">
        <v>0.14128899865520669</v>
      </c>
      <c r="I715">
        <v>30.032235458312055</v>
      </c>
      <c r="J715">
        <v>26.775189753410434</v>
      </c>
      <c r="K715">
        <v>1</v>
      </c>
      <c r="L715">
        <f t="shared" si="44"/>
        <v>4.0636955078585437</v>
      </c>
      <c r="M715" t="s">
        <v>1453</v>
      </c>
      <c r="N715">
        <v>889</v>
      </c>
      <c r="O715">
        <v>20</v>
      </c>
      <c r="P715">
        <v>2670</v>
      </c>
      <c r="Q715">
        <v>188.088806129814</v>
      </c>
      <c r="R715">
        <v>237.394114999224</v>
      </c>
      <c r="S715" t="s">
        <v>1462</v>
      </c>
      <c r="T715">
        <v>3</v>
      </c>
      <c r="U715">
        <v>367.331945634872</v>
      </c>
      <c r="V715">
        <v>0.73144973674543801</v>
      </c>
      <c r="W715">
        <v>45191.883000000002</v>
      </c>
      <c r="X715">
        <v>5.2530255267129403E-3</v>
      </c>
      <c r="Y715">
        <v>6.1329665184020996</v>
      </c>
      <c r="Z715">
        <v>8.4233617782592773</v>
      </c>
      <c r="AA715">
        <f t="shared" si="45"/>
        <v>0.40879969151941609</v>
      </c>
      <c r="AB715">
        <f t="shared" si="46"/>
        <v>-0.77924180176056101</v>
      </c>
      <c r="AC715" s="13">
        <f t="shared" si="47"/>
        <v>-0.27142611318606397</v>
      </c>
      <c r="AD715" s="13"/>
      <c r="AE715" s="13"/>
      <c r="AF715" s="13"/>
    </row>
    <row r="716" spans="1:32">
      <c r="A716" s="1" t="s">
        <v>1463</v>
      </c>
      <c r="B716">
        <v>6467.8260075261178</v>
      </c>
      <c r="C716">
        <v>79.822750098205006</v>
      </c>
      <c r="D716">
        <v>43947.755333333334</v>
      </c>
      <c r="E716">
        <v>55844.957333333332</v>
      </c>
      <c r="F716">
        <v>11897.201999999999</v>
      </c>
      <c r="G716">
        <v>0.46659324522760648</v>
      </c>
      <c r="H716">
        <v>0.11250887696581273</v>
      </c>
      <c r="I716">
        <v>1.8988352430047488</v>
      </c>
      <c r="J716">
        <v>0.34729710285393667</v>
      </c>
      <c r="K716">
        <v>1</v>
      </c>
      <c r="L716">
        <f t="shared" si="44"/>
        <v>4.0754448354395754</v>
      </c>
      <c r="M716" t="s">
        <v>1453</v>
      </c>
      <c r="N716">
        <v>918</v>
      </c>
      <c r="O716">
        <v>36</v>
      </c>
      <c r="P716">
        <v>2757</v>
      </c>
      <c r="Q716">
        <v>327.876243112037</v>
      </c>
      <c r="R716">
        <v>413.82521461235899</v>
      </c>
      <c r="S716" t="s">
        <v>1464</v>
      </c>
      <c r="T716">
        <v>0</v>
      </c>
      <c r="U716">
        <v>0</v>
      </c>
      <c r="V716">
        <v>0</v>
      </c>
      <c r="W716">
        <v>79548.11</v>
      </c>
      <c r="X716">
        <v>5.2022004622405103E-3</v>
      </c>
      <c r="Y716">
        <v>5.9344983100891113</v>
      </c>
      <c r="Z716">
        <v>8.118565559387207</v>
      </c>
      <c r="AA716">
        <f t="shared" si="45"/>
        <v>0.42975213877853413</v>
      </c>
      <c r="AB716">
        <f t="shared" si="46"/>
        <v>-0.78220513045917717</v>
      </c>
      <c r="AC716" s="13">
        <f t="shared" si="47"/>
        <v>-0.13579938497230454</v>
      </c>
      <c r="AD716" s="13"/>
      <c r="AE716" s="13"/>
      <c r="AF716" s="13"/>
    </row>
    <row r="717" spans="1:32">
      <c r="A717" s="1" t="s">
        <v>1465</v>
      </c>
      <c r="B717">
        <v>6339.2383156503174</v>
      </c>
      <c r="C717">
        <v>76.519878180922177</v>
      </c>
      <c r="D717">
        <v>9058.5863333333327</v>
      </c>
      <c r="E717">
        <v>21811.047999999999</v>
      </c>
      <c r="F717">
        <v>12752.461666666664</v>
      </c>
      <c r="G717">
        <v>0.60928362573099415</v>
      </c>
      <c r="H717">
        <v>3.2397117494275068E-2</v>
      </c>
      <c r="I717">
        <v>31.777248286947962</v>
      </c>
      <c r="J717">
        <v>17.2927681370881</v>
      </c>
      <c r="K717">
        <v>1</v>
      </c>
      <c r="L717">
        <f t="shared" si="44"/>
        <v>4.1055940267352646</v>
      </c>
      <c r="M717" t="s">
        <v>1453</v>
      </c>
      <c r="N717">
        <v>922</v>
      </c>
      <c r="O717">
        <v>7</v>
      </c>
      <c r="P717">
        <v>2769</v>
      </c>
      <c r="Q717">
        <v>63.477424820625203</v>
      </c>
      <c r="R717">
        <v>80.117298832349306</v>
      </c>
      <c r="S717" t="s">
        <v>1466</v>
      </c>
      <c r="T717">
        <v>2</v>
      </c>
      <c r="U717">
        <v>244.887963756581</v>
      </c>
      <c r="V717">
        <v>1.3932375938008299</v>
      </c>
      <c r="W717">
        <v>22584.974999999999</v>
      </c>
      <c r="X717">
        <v>3.5473715969289001E-3</v>
      </c>
      <c r="Y717">
        <v>6.4563465118408203</v>
      </c>
      <c r="Z717">
        <v>8.4440450668334961</v>
      </c>
      <c r="AA717">
        <f t="shared" si="45"/>
        <v>0.48618351355001577</v>
      </c>
      <c r="AB717">
        <f t="shared" si="46"/>
        <v>-0.79045379175744146</v>
      </c>
      <c r="AC717" s="13">
        <f t="shared" si="47"/>
        <v>-0.39232849404387865</v>
      </c>
      <c r="AD717" s="13"/>
      <c r="AE717" s="13"/>
      <c r="AF717" s="13"/>
    </row>
    <row r="718" spans="1:32">
      <c r="A718" s="1" t="s">
        <v>1467</v>
      </c>
      <c r="B718">
        <v>6446.6147585780855</v>
      </c>
      <c r="C718">
        <v>50.107967919703583</v>
      </c>
      <c r="D718">
        <v>45100.440666666662</v>
      </c>
      <c r="E718">
        <v>62105.906666666655</v>
      </c>
      <c r="F718">
        <v>17005.465999999997</v>
      </c>
      <c r="G718">
        <v>0.5387488328664799</v>
      </c>
      <c r="H718">
        <v>6.6139409782819639E-2</v>
      </c>
      <c r="I718">
        <v>67.020355183526092</v>
      </c>
      <c r="J718">
        <v>76.433156987961112</v>
      </c>
      <c r="K718">
        <v>1</v>
      </c>
      <c r="L718">
        <f t="shared" si="44"/>
        <v>4.2305885373834498</v>
      </c>
      <c r="M718" t="s">
        <v>1453</v>
      </c>
      <c r="N718">
        <v>367</v>
      </c>
      <c r="O718">
        <v>28</v>
      </c>
      <c r="P718">
        <v>1104</v>
      </c>
      <c r="Q718">
        <v>636.84416423301195</v>
      </c>
      <c r="R718">
        <v>803.785508937592</v>
      </c>
      <c r="S718" t="s">
        <v>1468</v>
      </c>
      <c r="T718">
        <v>3</v>
      </c>
      <c r="U718">
        <v>367.331945634872</v>
      </c>
      <c r="V718">
        <v>0.52246409767531299</v>
      </c>
      <c r="W718">
        <v>68309.039999999994</v>
      </c>
      <c r="X718">
        <v>1.1766898040692499E-2</v>
      </c>
      <c r="Y718">
        <v>10.88885974884033</v>
      </c>
      <c r="Z718">
        <v>7.9569835662841797</v>
      </c>
      <c r="AA718">
        <f t="shared" si="45"/>
        <v>0.76680341273743902</v>
      </c>
      <c r="AB718">
        <f t="shared" si="46"/>
        <v>-0.78697953601332538</v>
      </c>
      <c r="AC718" s="13">
        <f t="shared" si="47"/>
        <v>0.16397224808205763</v>
      </c>
      <c r="AD718" s="13"/>
      <c r="AE718" s="13"/>
      <c r="AF718" s="13"/>
    </row>
    <row r="719" spans="1:32">
      <c r="A719" s="1" t="s">
        <v>1469</v>
      </c>
      <c r="B719">
        <v>6292.9240653424522</v>
      </c>
      <c r="C719">
        <v>100.77960289743827</v>
      </c>
      <c r="D719">
        <v>30058.983666666667</v>
      </c>
      <c r="E719">
        <v>53676.964</v>
      </c>
      <c r="F719">
        <v>23617.980333333337</v>
      </c>
      <c r="G719">
        <v>0.61602418745275878</v>
      </c>
      <c r="H719">
        <v>0.40986937197306039</v>
      </c>
      <c r="I719">
        <v>29.411119352112078</v>
      </c>
      <c r="J719">
        <v>15.315036418431625</v>
      </c>
      <c r="K719">
        <v>1</v>
      </c>
      <c r="L719">
        <f t="shared" si="44"/>
        <v>4.3732427566309688</v>
      </c>
      <c r="M719" t="s">
        <v>1453</v>
      </c>
      <c r="N719">
        <v>451</v>
      </c>
      <c r="O719">
        <v>16</v>
      </c>
      <c r="P719">
        <v>1356</v>
      </c>
      <c r="Q719">
        <v>296.28148222218499</v>
      </c>
      <c r="R719">
        <v>373.94825194568102</v>
      </c>
      <c r="S719" t="s">
        <v>1470</v>
      </c>
      <c r="T719">
        <v>1</v>
      </c>
      <c r="U719">
        <v>122.44398187829</v>
      </c>
      <c r="V719">
        <v>0.30477072364393198</v>
      </c>
      <c r="W719">
        <v>53072.902000000002</v>
      </c>
      <c r="X719">
        <v>7.0459356442517697E-3</v>
      </c>
      <c r="Y719">
        <v>10.684768676757811</v>
      </c>
      <c r="Z719">
        <v>7.6595602035522461</v>
      </c>
      <c r="AA719">
        <f t="shared" si="45"/>
        <v>1.2031074839681979</v>
      </c>
      <c r="AB719">
        <f t="shared" si="46"/>
        <v>-0.75158757789287212</v>
      </c>
      <c r="AC719" s="13">
        <f t="shared" si="47"/>
        <v>-0.16645374233584656</v>
      </c>
      <c r="AD719" s="13"/>
      <c r="AE719" s="13"/>
      <c r="AF719" s="13"/>
    </row>
    <row r="720" spans="1:32">
      <c r="A720" s="1" t="s">
        <v>1471</v>
      </c>
      <c r="B720">
        <v>6192.8076594056365</v>
      </c>
      <c r="C720">
        <v>84.492325045632185</v>
      </c>
      <c r="D720">
        <v>232387.91666666666</v>
      </c>
      <c r="E720">
        <v>267043.59333333332</v>
      </c>
      <c r="F720">
        <v>34655.676666666674</v>
      </c>
      <c r="G720">
        <v>0.61538461538461542</v>
      </c>
      <c r="H720">
        <v>0.14966455043529017</v>
      </c>
      <c r="I720">
        <v>13.061915460166128</v>
      </c>
      <c r="J720">
        <v>3.1724523479009354</v>
      </c>
      <c r="K720">
        <v>1</v>
      </c>
      <c r="L720">
        <f t="shared" si="44"/>
        <v>4.5397743830483677</v>
      </c>
      <c r="M720" t="s">
        <v>1453</v>
      </c>
      <c r="N720">
        <v>413</v>
      </c>
      <c r="O720">
        <v>29</v>
      </c>
      <c r="P720">
        <v>1242</v>
      </c>
      <c r="Q720">
        <v>586.30097659547096</v>
      </c>
      <c r="R720">
        <v>739.99300822825899</v>
      </c>
      <c r="S720" t="s">
        <v>1472</v>
      </c>
      <c r="T720">
        <v>2</v>
      </c>
      <c r="U720">
        <v>244.887963756581</v>
      </c>
      <c r="V720">
        <v>0.336298729538132</v>
      </c>
      <c r="W720">
        <v>285969.88</v>
      </c>
      <c r="X720">
        <v>2.5876606593262801E-3</v>
      </c>
      <c r="Y720">
        <v>8.9698019027709961</v>
      </c>
      <c r="Z720">
        <v>10.551304817199711</v>
      </c>
      <c r="AA720">
        <f t="shared" si="45"/>
        <v>1.9313920069923678</v>
      </c>
      <c r="AB720">
        <f t="shared" si="46"/>
        <v>-0.7783794178823924</v>
      </c>
      <c r="AC720" s="13">
        <f t="shared" si="47"/>
        <v>0.11493345517790288</v>
      </c>
      <c r="AD720" s="13"/>
      <c r="AE720" s="13"/>
      <c r="AF720" s="13"/>
    </row>
    <row r="721" spans="1:32">
      <c r="A721" s="1" t="s">
        <v>1473</v>
      </c>
      <c r="B721">
        <v>6209.5695455662462</v>
      </c>
      <c r="C721">
        <v>48.106478979375879</v>
      </c>
      <c r="D721">
        <v>139651.53666666665</v>
      </c>
      <c r="E721">
        <v>183069.90000000002</v>
      </c>
      <c r="F721">
        <v>43418.363333333342</v>
      </c>
      <c r="G721">
        <v>0.55012398157987952</v>
      </c>
      <c r="H721">
        <v>8.4055695881031192E-2</v>
      </c>
      <c r="I721">
        <v>7.6688094147973493E-2</v>
      </c>
      <c r="J721">
        <v>5.0406043605160517E-2</v>
      </c>
      <c r="K721">
        <v>1</v>
      </c>
      <c r="L721">
        <f t="shared" si="44"/>
        <v>4.6376734485818121</v>
      </c>
      <c r="M721" t="s">
        <v>1453</v>
      </c>
      <c r="N721">
        <v>951</v>
      </c>
      <c r="O721">
        <v>47</v>
      </c>
      <c r="P721">
        <v>2856</v>
      </c>
      <c r="Q721">
        <v>413.22241388708602</v>
      </c>
      <c r="R721">
        <v>521.54389865638495</v>
      </c>
      <c r="S721" t="s">
        <v>1474</v>
      </c>
      <c r="T721">
        <v>6</v>
      </c>
      <c r="U721">
        <v>734.663891269744</v>
      </c>
      <c r="V721">
        <v>0.62251041425143705</v>
      </c>
      <c r="W721">
        <v>203732.61</v>
      </c>
      <c r="X721">
        <v>2.5599431463445401E-3</v>
      </c>
      <c r="Y721">
        <v>6.4001679420471191</v>
      </c>
      <c r="Z721">
        <v>8.3937950134277344</v>
      </c>
      <c r="AA721">
        <f t="shared" si="45"/>
        <v>2.5095678225537235</v>
      </c>
      <c r="AB721">
        <f t="shared" si="46"/>
        <v>-0.78513479590623214</v>
      </c>
      <c r="AC721" s="13">
        <f t="shared" si="47"/>
        <v>-5.2993503716575449E-2</v>
      </c>
      <c r="AD721" s="13"/>
      <c r="AE721" s="13"/>
      <c r="AF721" s="13"/>
    </row>
    <row r="722" spans="1:32">
      <c r="A722" s="1" t="s">
        <v>1475</v>
      </c>
      <c r="B722">
        <v>130.28906078860777</v>
      </c>
      <c r="C722">
        <v>3.2217305568082675</v>
      </c>
      <c r="D722">
        <v>480162.61333333334</v>
      </c>
      <c r="E722">
        <v>658755.01333333331</v>
      </c>
      <c r="F722">
        <v>178592.39999999994</v>
      </c>
      <c r="G722">
        <v>0.55983350676378774</v>
      </c>
      <c r="H722">
        <v>6.8049409748095216E-2</v>
      </c>
      <c r="I722">
        <v>8.0247143965514703E-2</v>
      </c>
      <c r="J722">
        <v>3.8067520240620635E-2</v>
      </c>
      <c r="K722">
        <v>1</v>
      </c>
      <c r="L722">
        <f t="shared" si="44"/>
        <v>5.2518629735430604</v>
      </c>
      <c r="M722" t="s">
        <v>1453</v>
      </c>
      <c r="N722">
        <v>971</v>
      </c>
      <c r="O722">
        <v>93</v>
      </c>
      <c r="P722">
        <v>2916</v>
      </c>
      <c r="Q722">
        <v>800.82872856814402</v>
      </c>
      <c r="R722">
        <v>1010.7567334612</v>
      </c>
      <c r="S722" t="s">
        <v>1476</v>
      </c>
      <c r="T722">
        <v>70</v>
      </c>
      <c r="U722">
        <v>8571.0787314803401</v>
      </c>
      <c r="V722">
        <v>3.6703571019484298</v>
      </c>
      <c r="W722">
        <v>723177</v>
      </c>
      <c r="X722">
        <v>1.39766161459947E-3</v>
      </c>
      <c r="Y722">
        <v>6.0073580741882324</v>
      </c>
      <c r="Z722">
        <v>8.2825632095336914</v>
      </c>
      <c r="AA722">
        <f t="shared" si="45"/>
        <v>11.428562859745952</v>
      </c>
      <c r="AB722">
        <f t="shared" si="46"/>
        <v>-0.78678287396399349</v>
      </c>
      <c r="AC722" s="13">
        <f t="shared" si="47"/>
        <v>0.32307588728220327</v>
      </c>
      <c r="AD722" s="13"/>
      <c r="AE722" s="13"/>
      <c r="AF722" s="13"/>
    </row>
    <row r="723" spans="1:32">
      <c r="A723" s="1" t="s">
        <v>1477</v>
      </c>
      <c r="B723">
        <v>352.07701204488848</v>
      </c>
      <c r="C723">
        <v>29.611917709719663</v>
      </c>
      <c r="D723">
        <v>35379.383666666668</v>
      </c>
      <c r="E723">
        <v>30973.346333333331</v>
      </c>
      <c r="F723">
        <v>-4406.0373333333346</v>
      </c>
      <c r="G723">
        <v>0.5397215397215398</v>
      </c>
      <c r="H723">
        <v>9.5946112323398502E-2</v>
      </c>
      <c r="I723">
        <v>0.31855069212195231</v>
      </c>
      <c r="J723">
        <v>7.475616680502753E-2</v>
      </c>
      <c r="K723">
        <v>1</v>
      </c>
      <c r="L723" t="e">
        <f t="shared" si="44"/>
        <v>#NUM!</v>
      </c>
      <c r="M723" t="s">
        <v>1453</v>
      </c>
      <c r="N723">
        <v>824</v>
      </c>
      <c r="O723">
        <v>11</v>
      </c>
      <c r="P723">
        <v>2475</v>
      </c>
      <c r="Q723">
        <v>111.599358303689</v>
      </c>
      <c r="R723">
        <v>140.853841566206</v>
      </c>
      <c r="S723" t="s">
        <v>1478</v>
      </c>
      <c r="T723">
        <v>4</v>
      </c>
      <c r="U723">
        <v>489.775927513162</v>
      </c>
      <c r="V723">
        <v>1.77321148301924</v>
      </c>
      <c r="W723">
        <v>42939.47</v>
      </c>
      <c r="X723">
        <v>3.2802883120403299E-3</v>
      </c>
      <c r="Y723">
        <v>8.7970981597900391</v>
      </c>
      <c r="Z723">
        <v>6.2637786865234384</v>
      </c>
      <c r="AA723">
        <f t="shared" si="45"/>
        <v>-0.64596117340676618</v>
      </c>
      <c r="AB723">
        <f t="shared" si="46"/>
        <v>-0.78391050600702905</v>
      </c>
      <c r="AC723" s="13">
        <f t="shared" si="47"/>
        <v>-0.34563888777791568</v>
      </c>
      <c r="AD723" s="13"/>
      <c r="AE723" s="13"/>
      <c r="AF723" s="13"/>
    </row>
    <row r="724" spans="1:32">
      <c r="A724" s="1" t="s">
        <v>1479</v>
      </c>
      <c r="B724">
        <v>1334.2417358738739</v>
      </c>
      <c r="C724">
        <v>471.06390870918085</v>
      </c>
      <c r="D724">
        <v>876.43765999999994</v>
      </c>
      <c r="E724">
        <v>689.44592999999998</v>
      </c>
      <c r="F724">
        <v>-186.99172999999996</v>
      </c>
      <c r="G724">
        <v>0.64880273660205234</v>
      </c>
      <c r="H724">
        <v>6.3648972578596211E-2</v>
      </c>
      <c r="I724">
        <v>2.4991953627414794</v>
      </c>
      <c r="J724">
        <v>1.5146966107914892</v>
      </c>
      <c r="K724">
        <v>1</v>
      </c>
      <c r="L724" t="e">
        <f t="shared" si="44"/>
        <v>#NUM!</v>
      </c>
      <c r="M724" t="s">
        <v>1453</v>
      </c>
      <c r="N724">
        <v>887</v>
      </c>
      <c r="O724">
        <v>6</v>
      </c>
      <c r="P724">
        <v>2664</v>
      </c>
      <c r="Q724">
        <v>56.553728870112998</v>
      </c>
      <c r="R724">
        <v>71.378635928820898</v>
      </c>
      <c r="S724" t="s">
        <v>1480</v>
      </c>
      <c r="T724">
        <v>0</v>
      </c>
      <c r="U724">
        <v>0</v>
      </c>
      <c r="V724">
        <v>0</v>
      </c>
      <c r="W724">
        <v>1310.8622</v>
      </c>
      <c r="X724">
        <v>5.4451669999196602E-2</v>
      </c>
      <c r="Y724">
        <v>6.4260687828063956</v>
      </c>
      <c r="Z724">
        <v>8.4817142486572266</v>
      </c>
      <c r="AA724">
        <f t="shared" si="45"/>
        <v>-0.36758192450846761</v>
      </c>
      <c r="AB724">
        <f t="shared" si="46"/>
        <v>-0.78723596244956584</v>
      </c>
      <c r="AC724" s="13">
        <f t="shared" si="47"/>
        <v>-0.39904610936888274</v>
      </c>
      <c r="AD724" s="13"/>
      <c r="AE724" s="13"/>
      <c r="AF724" s="13"/>
    </row>
    <row r="725" spans="1:32">
      <c r="A725" s="1" t="s">
        <v>1481</v>
      </c>
      <c r="B725">
        <v>125.67708968537443</v>
      </c>
      <c r="C725">
        <v>13.737798488955423</v>
      </c>
      <c r="D725">
        <v>226375.25</v>
      </c>
      <c r="E725">
        <v>229235.87666666668</v>
      </c>
      <c r="F725">
        <v>2860.6266666666779</v>
      </c>
      <c r="G725">
        <v>0.65636269963936111</v>
      </c>
      <c r="H725">
        <v>4.8030111128689511E-2</v>
      </c>
      <c r="I725">
        <v>0.9295925291518139</v>
      </c>
      <c r="J725">
        <v>0.61125451764905347</v>
      </c>
      <c r="K725">
        <v>1</v>
      </c>
      <c r="L725">
        <f t="shared" si="44"/>
        <v>3.45646118280137</v>
      </c>
      <c r="M725" t="s">
        <v>1482</v>
      </c>
      <c r="N725">
        <v>657</v>
      </c>
      <c r="O725">
        <v>130</v>
      </c>
      <c r="P725">
        <v>1974</v>
      </c>
      <c r="Q725">
        <v>1653.6379079953999</v>
      </c>
      <c r="R725">
        <v>2087.1199928123301</v>
      </c>
      <c r="S725" t="s">
        <v>1483</v>
      </c>
      <c r="T725">
        <v>7</v>
      </c>
      <c r="U725">
        <v>857.10787314803395</v>
      </c>
      <c r="V725">
        <v>0.26257170037015698</v>
      </c>
      <c r="W725">
        <v>235184.7</v>
      </c>
      <c r="X725">
        <v>8.8743867811653197E-3</v>
      </c>
      <c r="Y725">
        <v>9.6285295486450195</v>
      </c>
      <c r="Z725">
        <v>6.6252684593200684</v>
      </c>
      <c r="AA725">
        <f t="shared" si="45"/>
        <v>-0.16649528076078751</v>
      </c>
      <c r="AB725">
        <f t="shared" si="46"/>
        <v>-0.78884414954737347</v>
      </c>
      <c r="AC725" s="13">
        <f t="shared" si="47"/>
        <v>1.1505015937216796</v>
      </c>
      <c r="AD725" s="13"/>
      <c r="AE725" s="13"/>
      <c r="AF725" s="13"/>
    </row>
    <row r="726" spans="1:32">
      <c r="A726" s="1" t="s">
        <v>1484</v>
      </c>
      <c r="B726">
        <v>1564.3010297161807</v>
      </c>
      <c r="C726">
        <v>412.16411790529855</v>
      </c>
      <c r="D726">
        <v>121861.20966666665</v>
      </c>
      <c r="E726">
        <v>136599.14166666663</v>
      </c>
      <c r="F726">
        <v>14737.932000000001</v>
      </c>
      <c r="G726">
        <v>0.67343485617597287</v>
      </c>
      <c r="H726">
        <v>6.5248520903539595E-2</v>
      </c>
      <c r="I726">
        <v>14.755336394442175</v>
      </c>
      <c r="J726">
        <v>12.022822080845696</v>
      </c>
      <c r="K726">
        <v>1</v>
      </c>
      <c r="L726">
        <f t="shared" si="44"/>
        <v>4.1684365483807673</v>
      </c>
      <c r="M726" t="s">
        <v>1482</v>
      </c>
      <c r="N726">
        <v>601</v>
      </c>
      <c r="O726">
        <v>14</v>
      </c>
      <c r="P726">
        <v>1806</v>
      </c>
      <c r="Q726">
        <v>194.65004355294701</v>
      </c>
      <c r="R726">
        <v>245.675305057337</v>
      </c>
      <c r="S726" t="s">
        <v>1485</v>
      </c>
      <c r="T726">
        <v>3</v>
      </c>
      <c r="U726">
        <v>367.331945634872</v>
      </c>
      <c r="V726">
        <v>1.04492819535062</v>
      </c>
      <c r="W726">
        <v>128719.69500000001</v>
      </c>
      <c r="X726">
        <v>1.9086069544939201E-3</v>
      </c>
      <c r="Y726">
        <v>8.6529855728149414</v>
      </c>
      <c r="Z726">
        <v>8.8102283477783203</v>
      </c>
      <c r="AA726">
        <f t="shared" si="45"/>
        <v>0.6171879614911584</v>
      </c>
      <c r="AB726">
        <f t="shared" si="46"/>
        <v>-0.78707126587505916</v>
      </c>
      <c r="AC726" s="13">
        <f t="shared" si="47"/>
        <v>-0.26506016797707943</v>
      </c>
      <c r="AD726" s="13"/>
      <c r="AE726" s="13"/>
      <c r="AF726" s="13"/>
    </row>
    <row r="727" spans="1:32">
      <c r="A727" s="1" t="s">
        <v>1486</v>
      </c>
      <c r="B727">
        <v>6101.119692126992</v>
      </c>
      <c r="C727">
        <v>322.87922337145216</v>
      </c>
      <c r="D727">
        <v>807142.7333333334</v>
      </c>
      <c r="E727">
        <v>829947.50666666671</v>
      </c>
      <c r="F727">
        <v>22804.773333333393</v>
      </c>
      <c r="G727">
        <v>0.62431173231681492</v>
      </c>
      <c r="H727">
        <v>5.403889196690017E-2</v>
      </c>
      <c r="I727">
        <v>6.6171982087126127</v>
      </c>
      <c r="J727">
        <v>1.2633838524863126</v>
      </c>
      <c r="K727">
        <v>1</v>
      </c>
      <c r="L727">
        <f t="shared" si="44"/>
        <v>4.3580257599546481</v>
      </c>
      <c r="M727" t="s">
        <v>1482</v>
      </c>
      <c r="N727">
        <v>797</v>
      </c>
      <c r="O727">
        <v>129</v>
      </c>
      <c r="P727">
        <v>2394</v>
      </c>
      <c r="Q727">
        <v>1353.03733281729</v>
      </c>
      <c r="R727">
        <v>1707.72044756021</v>
      </c>
      <c r="S727" t="s">
        <v>1487</v>
      </c>
      <c r="T727">
        <v>62</v>
      </c>
      <c r="U727">
        <v>7591.5268764540197</v>
      </c>
      <c r="V727">
        <v>2.3436632391843499</v>
      </c>
      <c r="W727">
        <v>835054.06</v>
      </c>
      <c r="X727">
        <v>2.0450417875463199E-3</v>
      </c>
      <c r="Y727">
        <v>8.8596324920654297</v>
      </c>
      <c r="Z727">
        <v>6.6162118911743164</v>
      </c>
      <c r="AA727">
        <f t="shared" si="45"/>
        <v>1.1494508101270886</v>
      </c>
      <c r="AB727">
        <f t="shared" si="46"/>
        <v>-0.78822545887977535</v>
      </c>
      <c r="AC727" s="13">
        <f t="shared" si="47"/>
        <v>0.85884825640663887</v>
      </c>
      <c r="AD727" s="13"/>
      <c r="AE727" s="13"/>
      <c r="AF727" s="13"/>
    </row>
    <row r="728" spans="1:32">
      <c r="A728" s="1" t="s">
        <v>1488</v>
      </c>
      <c r="B728">
        <v>2416.9665717734879</v>
      </c>
      <c r="C728">
        <v>577.82826152658436</v>
      </c>
      <c r="D728">
        <v>10685.327333333335</v>
      </c>
      <c r="E728">
        <v>41942.080000000002</v>
      </c>
      <c r="F728">
        <v>31256.752666666667</v>
      </c>
      <c r="G728">
        <v>0.63453815261044177</v>
      </c>
      <c r="H728">
        <v>6.089065155314944E-2</v>
      </c>
      <c r="I728">
        <v>27.540407339280204</v>
      </c>
      <c r="J728">
        <v>9.9146142341331416</v>
      </c>
      <c r="K728">
        <v>1</v>
      </c>
      <c r="L728">
        <f t="shared" si="44"/>
        <v>4.4949438562102131</v>
      </c>
      <c r="M728" t="s">
        <v>1482</v>
      </c>
      <c r="N728">
        <v>591</v>
      </c>
      <c r="O728">
        <v>13</v>
      </c>
      <c r="P728">
        <v>1776</v>
      </c>
      <c r="Q728">
        <v>183.79961882786699</v>
      </c>
      <c r="R728">
        <v>231.98056676866801</v>
      </c>
      <c r="S728" t="s">
        <v>1489</v>
      </c>
      <c r="T728">
        <v>1</v>
      </c>
      <c r="U728">
        <v>122.44398187829</v>
      </c>
      <c r="V728">
        <v>0.37510242910022501</v>
      </c>
      <c r="W728">
        <v>39061.957000000002</v>
      </c>
      <c r="X728">
        <v>5.9387850631412997E-3</v>
      </c>
      <c r="Y728">
        <v>8.692072868347168</v>
      </c>
      <c r="Z728">
        <v>8.7718353271484375</v>
      </c>
      <c r="AA728">
        <f t="shared" si="45"/>
        <v>1.7071256683126323</v>
      </c>
      <c r="AB728">
        <f t="shared" si="46"/>
        <v>-0.78751997138958751</v>
      </c>
      <c r="AC728" s="13">
        <f t="shared" si="47"/>
        <v>-0.27558763480072135</v>
      </c>
      <c r="AD728" s="13"/>
      <c r="AE728" s="13"/>
      <c r="AF728" s="13"/>
    </row>
    <row r="729" spans="1:32">
      <c r="A729" s="1" t="s">
        <v>1490</v>
      </c>
      <c r="B729">
        <v>1005.044887836042</v>
      </c>
      <c r="C729">
        <v>225.23971825386394</v>
      </c>
      <c r="D729">
        <v>137787.40333333335</v>
      </c>
      <c r="E729">
        <v>178690.23666666666</v>
      </c>
      <c r="F729">
        <v>40902.833333333328</v>
      </c>
      <c r="G729">
        <v>0.64542772861356923</v>
      </c>
      <c r="H729">
        <v>5.8362632444759234E-2</v>
      </c>
      <c r="I729">
        <v>13.857668702548176</v>
      </c>
      <c r="J729">
        <v>3.6690245595148347</v>
      </c>
      <c r="K729">
        <v>1</v>
      </c>
      <c r="L729">
        <f t="shared" si="44"/>
        <v>4.6117533925651113</v>
      </c>
      <c r="M729" t="s">
        <v>1482</v>
      </c>
      <c r="N729">
        <v>575</v>
      </c>
      <c r="O729">
        <v>17</v>
      </c>
      <c r="P729">
        <v>1728</v>
      </c>
      <c r="Q729">
        <v>247.029829578479</v>
      </c>
      <c r="R729">
        <v>311.78584721686298</v>
      </c>
      <c r="S729" t="s">
        <v>1491</v>
      </c>
      <c r="T729">
        <v>3</v>
      </c>
      <c r="U729">
        <v>367.331945634872</v>
      </c>
      <c r="V729">
        <v>0.86052910205345701</v>
      </c>
      <c r="W729">
        <v>180493.66</v>
      </c>
      <c r="X729">
        <v>1.7274060884845601E-3</v>
      </c>
      <c r="Y729">
        <v>8.816157341003418</v>
      </c>
      <c r="Z729">
        <v>8.7916278839111328</v>
      </c>
      <c r="AA729">
        <f t="shared" si="45"/>
        <v>2.3435892061036241</v>
      </c>
      <c r="AB729">
        <f t="shared" si="46"/>
        <v>-0.78778026742500362</v>
      </c>
      <c r="AC729" s="13">
        <f t="shared" si="47"/>
        <v>-0.21423944219123403</v>
      </c>
      <c r="AD729" s="13"/>
      <c r="AE729" s="13"/>
      <c r="AF729" s="13"/>
    </row>
    <row r="730" spans="1:32">
      <c r="A730" s="1" t="s">
        <v>1492</v>
      </c>
      <c r="B730">
        <v>1893.675286195142</v>
      </c>
      <c r="C730">
        <v>440.75447121808139</v>
      </c>
      <c r="D730">
        <v>294141.07</v>
      </c>
      <c r="E730">
        <v>336036.92</v>
      </c>
      <c r="F730">
        <v>41895.849999999955</v>
      </c>
      <c r="G730">
        <v>0.6533101045296168</v>
      </c>
      <c r="H730">
        <v>6.3307205380093573E-2</v>
      </c>
      <c r="I730">
        <v>30.350028919594905</v>
      </c>
      <c r="J730">
        <v>27.784596657897826</v>
      </c>
      <c r="K730">
        <v>1</v>
      </c>
      <c r="L730">
        <f t="shared" si="44"/>
        <v>4.6221710059886911</v>
      </c>
      <c r="M730" t="s">
        <v>1482</v>
      </c>
      <c r="N730">
        <v>584</v>
      </c>
      <c r="O730">
        <v>31</v>
      </c>
      <c r="P730">
        <v>1755</v>
      </c>
      <c r="Q730">
        <v>443.535911206972</v>
      </c>
      <c r="R730">
        <v>559.80372930159001</v>
      </c>
      <c r="S730" t="s">
        <v>1493</v>
      </c>
      <c r="T730">
        <v>12</v>
      </c>
      <c r="U730">
        <v>1469.32778253948</v>
      </c>
      <c r="V730">
        <v>1.8876122238591899</v>
      </c>
      <c r="W730">
        <v>321756.79999999999</v>
      </c>
      <c r="X730">
        <v>1.7398349601363201E-3</v>
      </c>
      <c r="Y730">
        <v>8.6873922348022461</v>
      </c>
      <c r="Z730">
        <v>8.7810583114624023</v>
      </c>
      <c r="AA730">
        <f t="shared" si="45"/>
        <v>2.4091100038858868</v>
      </c>
      <c r="AB730">
        <f t="shared" si="46"/>
        <v>-0.78727115231285061</v>
      </c>
      <c r="AC730" s="13">
        <f t="shared" si="47"/>
        <v>-2.3582273702139001E-2</v>
      </c>
      <c r="AD730" s="13"/>
      <c r="AE730" s="13"/>
      <c r="AF730" s="13"/>
    </row>
    <row r="731" spans="1:32">
      <c r="A731" s="1" t="s">
        <v>1494</v>
      </c>
      <c r="B731">
        <v>5830.5010100372283</v>
      </c>
      <c r="C731">
        <v>270.69623206390202</v>
      </c>
      <c r="D731">
        <v>75793.491666666654</v>
      </c>
      <c r="E731">
        <v>118950.52466666665</v>
      </c>
      <c r="F731">
        <v>43157.032999999996</v>
      </c>
      <c r="G731">
        <v>0.49968963376784603</v>
      </c>
      <c r="H731">
        <v>5.7349738173157659E-2</v>
      </c>
      <c r="I731">
        <v>18.151077431296528</v>
      </c>
      <c r="J731">
        <v>0.39381929120903431</v>
      </c>
      <c r="K731">
        <v>1</v>
      </c>
      <c r="L731">
        <f t="shared" si="44"/>
        <v>4.6350515797546157</v>
      </c>
      <c r="M731" t="s">
        <v>1482</v>
      </c>
      <c r="N731">
        <v>547</v>
      </c>
      <c r="O731">
        <v>54</v>
      </c>
      <c r="P731">
        <v>1644</v>
      </c>
      <c r="Q731">
        <v>824.77627943420305</v>
      </c>
      <c r="R731">
        <v>1040.9818582903899</v>
      </c>
      <c r="S731" t="s">
        <v>1495</v>
      </c>
      <c r="T731">
        <v>6</v>
      </c>
      <c r="U731">
        <v>734.663891269744</v>
      </c>
      <c r="V731">
        <v>0.54181461981143597</v>
      </c>
      <c r="W731">
        <v>119590.87</v>
      </c>
      <c r="X731">
        <v>8.7045261757055202E-3</v>
      </c>
      <c r="Y731">
        <v>8.6314487457275391</v>
      </c>
      <c r="Z731">
        <v>8.8968009948730469</v>
      </c>
      <c r="AA731">
        <f t="shared" si="45"/>
        <v>2.4923248371140301</v>
      </c>
      <c r="AB731">
        <f t="shared" si="46"/>
        <v>-0.78788455950187863</v>
      </c>
      <c r="AC731" s="13">
        <f t="shared" si="47"/>
        <v>0.34631065031108127</v>
      </c>
      <c r="AD731" s="13"/>
      <c r="AE731" s="13"/>
      <c r="AF731" s="13"/>
    </row>
    <row r="732" spans="1:32">
      <c r="A732" s="2" t="s">
        <v>1496</v>
      </c>
      <c r="B732">
        <v>177.28607652138507</v>
      </c>
      <c r="C732">
        <v>57.161001787437485</v>
      </c>
      <c r="D732">
        <v>257867.16333333333</v>
      </c>
      <c r="E732">
        <v>251454.0266666667</v>
      </c>
      <c r="F732">
        <v>-6413.1366666666772</v>
      </c>
      <c r="G732">
        <v>0.43943943943943942</v>
      </c>
      <c r="H732">
        <v>0.11802257816312002</v>
      </c>
      <c r="I732">
        <v>24.37302007010004</v>
      </c>
      <c r="J732">
        <v>11.455184306919914</v>
      </c>
      <c r="K732">
        <v>1</v>
      </c>
      <c r="L732" t="e">
        <f t="shared" si="44"/>
        <v>#NUM!</v>
      </c>
      <c r="M732" t="s">
        <v>1482</v>
      </c>
      <c r="N732">
        <v>676</v>
      </c>
      <c r="O732">
        <v>38</v>
      </c>
      <c r="P732">
        <v>2031</v>
      </c>
      <c r="Q732">
        <v>469.80527498599002</v>
      </c>
      <c r="R732">
        <v>592.95930349141599</v>
      </c>
      <c r="S732" t="s">
        <v>1497</v>
      </c>
      <c r="T732">
        <v>6</v>
      </c>
      <c r="U732">
        <v>734.663891269744</v>
      </c>
      <c r="V732">
        <v>0.76994709131098804</v>
      </c>
      <c r="W732">
        <v>268294.56</v>
      </c>
      <c r="X732">
        <v>2.21010557758389E-3</v>
      </c>
      <c r="AA732">
        <f t="shared" si="45"/>
        <v>-0.77839273670538822</v>
      </c>
      <c r="AB732">
        <f t="shared" si="46"/>
        <v>-0.78163741538243392</v>
      </c>
      <c r="AC732" s="13">
        <f t="shared" si="47"/>
        <v>1.9051945462297292E-3</v>
      </c>
      <c r="AD732" s="13"/>
      <c r="AE732" s="13"/>
      <c r="AF732" s="13"/>
    </row>
    <row r="733" spans="1:32">
      <c r="A733" s="1" t="s">
        <v>1498</v>
      </c>
      <c r="B733">
        <v>4020.9412774293683</v>
      </c>
      <c r="C733">
        <v>199.37800670169986</v>
      </c>
      <c r="D733">
        <v>301524.41333333333</v>
      </c>
      <c r="E733">
        <v>293347.59999999998</v>
      </c>
      <c r="F733">
        <v>-8176.8133333333435</v>
      </c>
      <c r="G733">
        <v>0.67236467236467234</v>
      </c>
      <c r="H733">
        <v>4.9665061920624497E-2</v>
      </c>
      <c r="I733">
        <v>1.8129500269755165</v>
      </c>
      <c r="J733">
        <v>1.1115597472571765</v>
      </c>
      <c r="K733">
        <v>1</v>
      </c>
      <c r="L733" t="e">
        <f t="shared" si="44"/>
        <v>#NUM!</v>
      </c>
      <c r="M733" t="s">
        <v>1482</v>
      </c>
      <c r="N733">
        <v>595</v>
      </c>
      <c r="O733">
        <v>24</v>
      </c>
      <c r="P733">
        <v>1788</v>
      </c>
      <c r="Q733">
        <v>337.04504185678098</v>
      </c>
      <c r="R733">
        <v>425.39750808585899</v>
      </c>
      <c r="S733" t="s">
        <v>1499</v>
      </c>
      <c r="T733">
        <v>2</v>
      </c>
      <c r="U733">
        <v>244.887963756581</v>
      </c>
      <c r="V733">
        <v>0.40636096485857698</v>
      </c>
      <c r="W733">
        <v>316194.71999999997</v>
      </c>
      <c r="X733">
        <v>1.34536562813528E-3</v>
      </c>
      <c r="Y733">
        <v>8.6819009780883789</v>
      </c>
      <c r="Z733">
        <v>8.8049497604370117</v>
      </c>
      <c r="AA733">
        <f t="shared" si="45"/>
        <v>-0.89476289050941926</v>
      </c>
      <c r="AB733">
        <f t="shared" si="46"/>
        <v>-0.78867580777818802</v>
      </c>
      <c r="AC733" s="13">
        <f t="shared" si="47"/>
        <v>-0.12690349130513476</v>
      </c>
      <c r="AD733" s="13"/>
      <c r="AE733" s="13"/>
      <c r="AF733" s="13"/>
    </row>
    <row r="734" spans="1:32">
      <c r="A734" s="1" t="s">
        <v>1500</v>
      </c>
      <c r="B734">
        <v>328.5406558159998</v>
      </c>
      <c r="C734">
        <v>74.707757278588673</v>
      </c>
      <c r="D734">
        <v>318703.09333333332</v>
      </c>
      <c r="E734">
        <v>279779.22666666663</v>
      </c>
      <c r="F734">
        <v>-38923.866666666669</v>
      </c>
      <c r="G734">
        <v>0.42823418319169027</v>
      </c>
      <c r="H734">
        <v>2.2069062024827644</v>
      </c>
      <c r="I734">
        <v>7.930770365448768E-2</v>
      </c>
      <c r="J734">
        <v>4.3002341621956597E-2</v>
      </c>
      <c r="K734">
        <v>0</v>
      </c>
      <c r="L734" t="e">
        <f t="shared" si="44"/>
        <v>#NUM!</v>
      </c>
      <c r="M734" t="s">
        <v>1482</v>
      </c>
      <c r="N734">
        <v>716</v>
      </c>
      <c r="O734">
        <v>571</v>
      </c>
      <c r="P734">
        <v>2151</v>
      </c>
      <c r="Q734">
        <v>6665.6102083061496</v>
      </c>
      <c r="R734">
        <v>8412.9229638393299</v>
      </c>
      <c r="S734" t="s">
        <v>1501</v>
      </c>
      <c r="T734">
        <v>23</v>
      </c>
      <c r="U734">
        <v>2816.2115832006798</v>
      </c>
      <c r="V734">
        <v>0.19641966077227099</v>
      </c>
      <c r="W734">
        <v>310686.25</v>
      </c>
      <c r="X734">
        <v>2.7078517198103599E-2</v>
      </c>
      <c r="Y734">
        <v>8.8297519683837891</v>
      </c>
      <c r="Z734">
        <v>6.5869245529174796</v>
      </c>
      <c r="AA734">
        <f t="shared" si="45"/>
        <v>-2.9235017138126778</v>
      </c>
      <c r="AB734">
        <f t="shared" si="46"/>
        <v>-0.56655671284680698</v>
      </c>
      <c r="AC734" s="13">
        <f t="shared" si="47"/>
        <v>6.013294843701523</v>
      </c>
      <c r="AD734" s="13"/>
      <c r="AE734" s="13"/>
      <c r="AF734" s="13"/>
    </row>
    <row r="735" spans="1:32">
      <c r="A735" s="1" t="s">
        <v>1502</v>
      </c>
      <c r="B735">
        <v>225.39801738426175</v>
      </c>
      <c r="C735">
        <v>23.405713186755015</v>
      </c>
      <c r="D735">
        <v>357392.48</v>
      </c>
      <c r="E735">
        <v>339009.89999999997</v>
      </c>
      <c r="F735">
        <v>-18382.580000000016</v>
      </c>
      <c r="G735">
        <v>0.70893371757925072</v>
      </c>
      <c r="H735">
        <v>4.5228666117362183E-2</v>
      </c>
      <c r="I735">
        <v>0.22394898032847391</v>
      </c>
      <c r="J735">
        <v>6.3969191640270914E-2</v>
      </c>
      <c r="K735">
        <v>1</v>
      </c>
      <c r="L735" t="e">
        <f t="shared" si="44"/>
        <v>#NUM!</v>
      </c>
      <c r="M735" t="s">
        <v>1482</v>
      </c>
      <c r="N735">
        <v>704</v>
      </c>
      <c r="O735">
        <v>27</v>
      </c>
      <c r="P735">
        <v>2115</v>
      </c>
      <c r="Q735">
        <v>320.551348319108</v>
      </c>
      <c r="R735">
        <v>404.58018322208198</v>
      </c>
      <c r="S735" t="s">
        <v>1503</v>
      </c>
      <c r="T735">
        <v>1</v>
      </c>
      <c r="U735">
        <v>122.44398187829</v>
      </c>
      <c r="V735">
        <v>0.180604873270478</v>
      </c>
      <c r="W735">
        <v>327425.15999999997</v>
      </c>
      <c r="X735">
        <v>1.23564170579341E-3</v>
      </c>
      <c r="Y735">
        <v>8.6213750839233398</v>
      </c>
      <c r="Z735">
        <v>8.7886781692504883</v>
      </c>
      <c r="AA735">
        <f t="shared" si="45"/>
        <v>-1.5681553887685793</v>
      </c>
      <c r="AB735">
        <f t="shared" si="46"/>
        <v>-0.78913259872383124</v>
      </c>
      <c r="AC735" s="13">
        <f t="shared" si="47"/>
        <v>-0.1429062576407068</v>
      </c>
      <c r="AD735" s="13"/>
      <c r="AE735" s="13"/>
      <c r="AF735" s="13"/>
    </row>
    <row r="736" spans="1:32">
      <c r="A736" s="1" t="s">
        <v>1504</v>
      </c>
      <c r="B736">
        <v>1230.6949973459857</v>
      </c>
      <c r="C736">
        <v>331.96453436869712</v>
      </c>
      <c r="D736">
        <v>26.639433999999998</v>
      </c>
      <c r="E736">
        <v>51.486475000000006</v>
      </c>
      <c r="F736">
        <v>24.847041000000001</v>
      </c>
      <c r="G736">
        <v>0.3995726495726496</v>
      </c>
      <c r="H736">
        <v>10.549566164608777</v>
      </c>
      <c r="I736">
        <v>7.4187681782992718E-2</v>
      </c>
      <c r="J736">
        <v>3.4270348095040343E-2</v>
      </c>
      <c r="K736">
        <v>0</v>
      </c>
      <c r="L736">
        <f t="shared" si="44"/>
        <v>1.395274676615107</v>
      </c>
      <c r="M736" t="s">
        <v>1505</v>
      </c>
      <c r="N736">
        <v>322</v>
      </c>
      <c r="O736">
        <v>10</v>
      </c>
      <c r="P736">
        <v>969</v>
      </c>
      <c r="Q736">
        <v>259.131636928072</v>
      </c>
      <c r="R736">
        <v>327.06000363670199</v>
      </c>
      <c r="S736" t="s">
        <v>1506</v>
      </c>
      <c r="T736">
        <v>0</v>
      </c>
      <c r="U736">
        <v>0</v>
      </c>
      <c r="V736">
        <v>0</v>
      </c>
      <c r="W736">
        <v>39.809600000000003</v>
      </c>
      <c r="X736">
        <v>8.2156063772733905</v>
      </c>
      <c r="AA736">
        <f t="shared" si="45"/>
        <v>-0.35360447000740058</v>
      </c>
      <c r="AB736">
        <f t="shared" si="46"/>
        <v>0.29244047817877405</v>
      </c>
      <c r="AC736" s="13">
        <f t="shared" si="47"/>
        <v>-0.20249783957134154</v>
      </c>
      <c r="AD736" s="13"/>
      <c r="AE736" s="13"/>
      <c r="AF736" s="13"/>
    </row>
    <row r="737" spans="1:32">
      <c r="A737" s="1" t="s">
        <v>1507</v>
      </c>
      <c r="B737">
        <v>370.08201889467477</v>
      </c>
      <c r="C737">
        <v>227.49081594307452</v>
      </c>
      <c r="D737">
        <v>425.34595666666672</v>
      </c>
      <c r="E737">
        <v>536.99572999999998</v>
      </c>
      <c r="F737">
        <v>111.64977333333336</v>
      </c>
      <c r="G737">
        <v>0.40468227424749165</v>
      </c>
      <c r="H737">
        <v>1.8202048742782517</v>
      </c>
      <c r="I737">
        <v>0.18864948309931306</v>
      </c>
      <c r="J737">
        <v>1.5799313809474653E-2</v>
      </c>
      <c r="K737">
        <v>4.9970362495315869E-52</v>
      </c>
      <c r="L737">
        <f t="shared" si="44"/>
        <v>2.0478578457219889</v>
      </c>
      <c r="M737" t="s">
        <v>1505</v>
      </c>
      <c r="N737">
        <v>309</v>
      </c>
      <c r="O737">
        <v>20</v>
      </c>
      <c r="P737">
        <v>930</v>
      </c>
      <c r="Q737">
        <v>539.99689501785303</v>
      </c>
      <c r="R737">
        <v>681.55084628809595</v>
      </c>
      <c r="S737" t="s">
        <v>1508</v>
      </c>
      <c r="T737">
        <v>9</v>
      </c>
      <c r="U737">
        <v>1101.9958369046101</v>
      </c>
      <c r="V737">
        <v>2.19434921023631</v>
      </c>
      <c r="W737">
        <v>636.38556000000005</v>
      </c>
      <c r="X737">
        <v>1.0709715762376699</v>
      </c>
      <c r="Y737">
        <v>11.779783248901371</v>
      </c>
      <c r="Z737">
        <v>10.32970523834229</v>
      </c>
      <c r="AA737">
        <f t="shared" si="45"/>
        <v>-0.34787708952822727</v>
      </c>
      <c r="AB737">
        <f t="shared" si="46"/>
        <v>-0.60637319298642034</v>
      </c>
      <c r="AC737" s="13">
        <f t="shared" si="47"/>
        <v>7.0007593291516207E-2</v>
      </c>
      <c r="AD737" s="13"/>
      <c r="AE737" s="13"/>
      <c r="AF737" s="13"/>
    </row>
    <row r="738" spans="1:32">
      <c r="A738" s="1" t="s">
        <v>1509</v>
      </c>
      <c r="B738">
        <v>971.70020585967347</v>
      </c>
      <c r="C738">
        <v>144.5659622184663</v>
      </c>
      <c r="D738">
        <v>35.929476666666666</v>
      </c>
      <c r="E738">
        <v>205.5401433333333</v>
      </c>
      <c r="F738">
        <v>169.61066666666667</v>
      </c>
      <c r="G738">
        <v>0.38511326860841422</v>
      </c>
      <c r="H738">
        <v>19.856391309574093</v>
      </c>
      <c r="I738">
        <v>0.76180252085530353</v>
      </c>
      <c r="J738">
        <v>0.3228174163815456</v>
      </c>
      <c r="K738">
        <v>0</v>
      </c>
      <c r="L738">
        <f t="shared" si="44"/>
        <v>2.2294531611801554</v>
      </c>
      <c r="M738" t="s">
        <v>1505</v>
      </c>
      <c r="N738">
        <v>319</v>
      </c>
      <c r="O738">
        <v>1</v>
      </c>
      <c r="P738">
        <v>960</v>
      </c>
      <c r="Q738">
        <v>26.156099602427201</v>
      </c>
      <c r="R738">
        <v>33.012619117079602</v>
      </c>
      <c r="S738" t="s">
        <v>1510</v>
      </c>
      <c r="T738">
        <v>3</v>
      </c>
      <c r="U738">
        <v>367.331945634872</v>
      </c>
      <c r="V738">
        <v>14.6289947349087</v>
      </c>
      <c r="W738">
        <v>272.98095999999998</v>
      </c>
      <c r="X738">
        <v>0.120933779107083</v>
      </c>
      <c r="Y738">
        <v>8.3109035491943359</v>
      </c>
      <c r="Z738">
        <v>11.676722526550289</v>
      </c>
      <c r="AA738">
        <f t="shared" si="45"/>
        <v>-0.34405273884122362</v>
      </c>
      <c r="AB738">
        <f t="shared" si="46"/>
        <v>1.2507123834446041</v>
      </c>
      <c r="AC738" s="13">
        <f t="shared" si="47"/>
        <v>-0.42853896718238804</v>
      </c>
      <c r="AD738" s="13"/>
      <c r="AE738" s="13"/>
      <c r="AF738" s="13"/>
    </row>
    <row r="739" spans="1:32">
      <c r="A739" s="1" t="s">
        <v>1511</v>
      </c>
      <c r="B739">
        <v>870.41011593242126</v>
      </c>
      <c r="C739">
        <v>84.830775304834617</v>
      </c>
      <c r="D739">
        <v>197.29433166666669</v>
      </c>
      <c r="E739">
        <v>507.70993333333337</v>
      </c>
      <c r="F739">
        <v>310.4156016666667</v>
      </c>
      <c r="G739">
        <v>0.40334378265412751</v>
      </c>
      <c r="H739">
        <v>21.778456438982506</v>
      </c>
      <c r="I739">
        <v>0.10200284850931289</v>
      </c>
      <c r="J739">
        <v>3.5592985293402685E-2</v>
      </c>
      <c r="K739">
        <v>0</v>
      </c>
      <c r="L739">
        <f t="shared" si="44"/>
        <v>2.4919435410251434</v>
      </c>
      <c r="M739" t="s">
        <v>1505</v>
      </c>
      <c r="N739">
        <v>329</v>
      </c>
      <c r="O739">
        <v>4</v>
      </c>
      <c r="P739">
        <v>990</v>
      </c>
      <c r="Q739">
        <v>101.45396209426301</v>
      </c>
      <c r="R739">
        <v>128.04894687836901</v>
      </c>
      <c r="S739" t="s">
        <v>1512</v>
      </c>
      <c r="T739">
        <v>7</v>
      </c>
      <c r="U739">
        <v>857.10787314803395</v>
      </c>
      <c r="V739">
        <v>8.5335802620301209</v>
      </c>
      <c r="W739">
        <v>651.17430000000002</v>
      </c>
      <c r="X739">
        <v>0.19664312132461201</v>
      </c>
      <c r="Y739">
        <v>11.952510833740231</v>
      </c>
      <c r="Z739">
        <v>10.17339992523193</v>
      </c>
      <c r="AA739">
        <f t="shared" si="45"/>
        <v>-0.33476220829670772</v>
      </c>
      <c r="AB739">
        <f t="shared" si="46"/>
        <v>1.4486167154712566</v>
      </c>
      <c r="AC739" s="13">
        <f t="shared" si="47"/>
        <v>-0.35548231093540372</v>
      </c>
      <c r="AD739" s="13"/>
      <c r="AE739" s="13"/>
      <c r="AF739" s="13"/>
    </row>
    <row r="740" spans="1:32">
      <c r="A740" s="1" t="s">
        <v>1513</v>
      </c>
      <c r="B740">
        <v>785.79486229546853</v>
      </c>
      <c r="C740">
        <v>146.33439123318874</v>
      </c>
      <c r="D740">
        <v>0</v>
      </c>
      <c r="E740">
        <v>597.83177999999998</v>
      </c>
      <c r="F740">
        <v>597.83177999999998</v>
      </c>
      <c r="G740">
        <v>0.44082840236686394</v>
      </c>
      <c r="H740">
        <v>16.564657795580825</v>
      </c>
      <c r="I740">
        <v>8.8226932239745093</v>
      </c>
      <c r="J740">
        <v>3.5830949968071191</v>
      </c>
      <c r="K740">
        <v>0</v>
      </c>
      <c r="L740">
        <f t="shared" si="44"/>
        <v>2.7765789978758662</v>
      </c>
      <c r="M740" t="s">
        <v>1505</v>
      </c>
      <c r="N740">
        <v>348</v>
      </c>
      <c r="O740">
        <v>15</v>
      </c>
      <c r="P740">
        <v>1047</v>
      </c>
      <c r="Q740">
        <v>359.74005183854098</v>
      </c>
      <c r="R740">
        <v>454.04175289966298</v>
      </c>
      <c r="S740" t="s">
        <v>1514</v>
      </c>
      <c r="T740">
        <v>0</v>
      </c>
      <c r="U740">
        <v>0</v>
      </c>
      <c r="V740">
        <v>0</v>
      </c>
      <c r="W740">
        <v>708.04660000000001</v>
      </c>
      <c r="X740">
        <v>0.64125970366874596</v>
      </c>
      <c r="Y740">
        <v>9.7237253189086914</v>
      </c>
      <c r="Z740">
        <v>11.41021633148193</v>
      </c>
      <c r="AA740">
        <f t="shared" si="45"/>
        <v>-0.31579803787332122</v>
      </c>
      <c r="AB740">
        <f t="shared" si="46"/>
        <v>0.9117809329286215</v>
      </c>
      <c r="AC740" s="13">
        <f t="shared" si="47"/>
        <v>-0.10488398785722364</v>
      </c>
      <c r="AD740" s="13"/>
      <c r="AE740" s="13"/>
      <c r="AF740" s="13"/>
    </row>
    <row r="741" spans="1:32">
      <c r="A741" s="1" t="s">
        <v>1515</v>
      </c>
      <c r="B741">
        <v>964.50341831589833</v>
      </c>
      <c r="C741">
        <v>142.22806118309583</v>
      </c>
      <c r="D741">
        <v>210.08456000000001</v>
      </c>
      <c r="E741">
        <v>865.49854333333326</v>
      </c>
      <c r="F741">
        <v>655.41398333333325</v>
      </c>
      <c r="G741">
        <v>0.40237324703344124</v>
      </c>
      <c r="H741">
        <v>21.138209891914585</v>
      </c>
      <c r="I741">
        <v>7.0838025030923887E-2</v>
      </c>
      <c r="J741">
        <v>4.3024188515303853E-2</v>
      </c>
      <c r="K741">
        <v>0</v>
      </c>
      <c r="L741">
        <f t="shared" si="44"/>
        <v>2.8165157028683314</v>
      </c>
      <c r="M741" t="s">
        <v>1505</v>
      </c>
      <c r="N741">
        <v>319</v>
      </c>
      <c r="O741">
        <v>11</v>
      </c>
      <c r="P741">
        <v>960</v>
      </c>
      <c r="Q741">
        <v>287.71709562669997</v>
      </c>
      <c r="R741">
        <v>363.13881028787603</v>
      </c>
      <c r="S741" t="s">
        <v>1516</v>
      </c>
      <c r="T741">
        <v>2</v>
      </c>
      <c r="U741">
        <v>244.887963756581</v>
      </c>
      <c r="V741">
        <v>0.88660574150962201</v>
      </c>
      <c r="W741">
        <v>784.53629999999998</v>
      </c>
      <c r="X741">
        <v>0.46287062853290001</v>
      </c>
      <c r="Y741">
        <v>11.769314765930179</v>
      </c>
      <c r="Z741">
        <v>10.24403190612793</v>
      </c>
      <c r="AA741">
        <f t="shared" si="45"/>
        <v>-0.31199867374670981</v>
      </c>
      <c r="AB741">
        <f t="shared" si="46"/>
        <v>1.3826940975062523</v>
      </c>
      <c r="AC741" s="13">
        <f t="shared" si="47"/>
        <v>-0.174763213903389</v>
      </c>
      <c r="AD741" s="13"/>
      <c r="AE741" s="13"/>
      <c r="AF741" s="13"/>
    </row>
    <row r="742" spans="1:32">
      <c r="A742" s="1" t="s">
        <v>1517</v>
      </c>
      <c r="B742">
        <v>925.58784214254263</v>
      </c>
      <c r="C742">
        <v>146.01473698204694</v>
      </c>
      <c r="D742">
        <v>278.93502333333339</v>
      </c>
      <c r="E742">
        <v>1184.7842333333335</v>
      </c>
      <c r="F742">
        <v>905.84920999999997</v>
      </c>
      <c r="G742">
        <v>0.38907469342251955</v>
      </c>
      <c r="H742">
        <v>17.422124710164805</v>
      </c>
      <c r="I742">
        <v>6.7990032740341447E-2</v>
      </c>
      <c r="J742">
        <v>3.3405101882273129E-2</v>
      </c>
      <c r="K742">
        <v>0</v>
      </c>
      <c r="L742">
        <f t="shared" si="44"/>
        <v>2.9570559099116767</v>
      </c>
      <c r="M742" t="s">
        <v>1505</v>
      </c>
      <c r="N742">
        <v>309</v>
      </c>
      <c r="O742">
        <v>1</v>
      </c>
      <c r="P742">
        <v>930</v>
      </c>
      <c r="Q742">
        <v>26.999844750892599</v>
      </c>
      <c r="R742">
        <v>34.077542314404802</v>
      </c>
      <c r="S742" t="s">
        <v>1518</v>
      </c>
      <c r="T742">
        <v>6</v>
      </c>
      <c r="U742">
        <v>734.663891269744</v>
      </c>
      <c r="V742">
        <v>29.257989469817499</v>
      </c>
      <c r="W742">
        <v>1078.8463999999999</v>
      </c>
      <c r="X742">
        <v>3.1587019537169303E-2</v>
      </c>
      <c r="Y742">
        <v>11.90561103820801</v>
      </c>
      <c r="Z742">
        <v>10.157052993774411</v>
      </c>
      <c r="AA742">
        <f t="shared" si="45"/>
        <v>-0.29547456454010118</v>
      </c>
      <c r="AB742">
        <f t="shared" si="46"/>
        <v>1.0000695212648179</v>
      </c>
      <c r="AC742" s="13">
        <f t="shared" si="47"/>
        <v>-0.42772033572019774</v>
      </c>
      <c r="AD742" s="13"/>
      <c r="AE742" s="13"/>
      <c r="AF742" s="13"/>
    </row>
    <row r="743" spans="1:32">
      <c r="A743" s="1" t="s">
        <v>1519</v>
      </c>
      <c r="B743">
        <v>698.88080504945049</v>
      </c>
      <c r="C743">
        <v>196.35411776900312</v>
      </c>
      <c r="D743">
        <v>0</v>
      </c>
      <c r="E743">
        <v>1147.5278666666666</v>
      </c>
      <c r="F743">
        <v>1147.5278666666666</v>
      </c>
      <c r="G743">
        <v>0.42268041237113402</v>
      </c>
      <c r="H743">
        <v>6.6613659715268199</v>
      </c>
      <c r="I743">
        <v>28.059893159438747</v>
      </c>
      <c r="J743">
        <v>20.419570766651599</v>
      </c>
      <c r="K743">
        <v>0</v>
      </c>
      <c r="L743">
        <f t="shared" si="44"/>
        <v>3.0597632407823832</v>
      </c>
      <c r="M743" t="s">
        <v>1505</v>
      </c>
      <c r="N743">
        <v>301</v>
      </c>
      <c r="O743">
        <v>25</v>
      </c>
      <c r="P743">
        <v>906</v>
      </c>
      <c r="Q743">
        <v>692.87681066032496</v>
      </c>
      <c r="R743">
        <v>874.50646667760702</v>
      </c>
      <c r="S743" t="s">
        <v>1520</v>
      </c>
      <c r="T743">
        <v>0</v>
      </c>
      <c r="U743">
        <v>0</v>
      </c>
      <c r="V743">
        <v>0</v>
      </c>
      <c r="W743">
        <v>946.89869999999996</v>
      </c>
      <c r="X743">
        <v>0.92354806979628001</v>
      </c>
      <c r="Y743">
        <v>12.647860527038571</v>
      </c>
      <c r="Z743">
        <v>10.57982063293457</v>
      </c>
      <c r="AA743">
        <f t="shared" si="45"/>
        <v>-0.27952822756178985</v>
      </c>
      <c r="AB743">
        <f t="shared" si="46"/>
        <v>-0.10790582134262965</v>
      </c>
      <c r="AC743" s="13">
        <f t="shared" si="47"/>
        <v>0.21833710855990804</v>
      </c>
      <c r="AD743" s="13"/>
      <c r="AE743" s="13"/>
      <c r="AF743" s="13"/>
    </row>
    <row r="744" spans="1:32">
      <c r="A744" s="1" t="s">
        <v>1521</v>
      </c>
      <c r="B744">
        <v>912.28624197917543</v>
      </c>
      <c r="C744">
        <v>160.19083924740062</v>
      </c>
      <c r="D744">
        <v>104.65662366666668</v>
      </c>
      <c r="E744">
        <v>1265.2605000000001</v>
      </c>
      <c r="F744">
        <v>1160.6038763333333</v>
      </c>
      <c r="G744">
        <v>0.35922330097087379</v>
      </c>
      <c r="H744">
        <v>19.384088065524423</v>
      </c>
      <c r="I744">
        <v>8.2121942066177858E-2</v>
      </c>
      <c r="J744">
        <v>2.8510652640102715E-2</v>
      </c>
      <c r="K744">
        <v>0</v>
      </c>
      <c r="L744">
        <f t="shared" si="44"/>
        <v>3.0646840167432154</v>
      </c>
      <c r="M744" t="s">
        <v>1505</v>
      </c>
      <c r="N744">
        <v>319</v>
      </c>
      <c r="O744">
        <v>17</v>
      </c>
      <c r="P744">
        <v>960</v>
      </c>
      <c r="Q744">
        <v>444.653693241263</v>
      </c>
      <c r="R744">
        <v>561.21452499035399</v>
      </c>
      <c r="S744" t="s">
        <v>1522</v>
      </c>
      <c r="T744">
        <v>0</v>
      </c>
      <c r="U744">
        <v>0</v>
      </c>
      <c r="V744">
        <v>0</v>
      </c>
      <c r="W744">
        <v>1376.2732000000001</v>
      </c>
      <c r="X744">
        <v>0.40777843017676602</v>
      </c>
      <c r="Y744">
        <v>11.793460845947269</v>
      </c>
      <c r="Z744">
        <v>10.230434417724609</v>
      </c>
      <c r="AA744">
        <f t="shared" si="45"/>
        <v>-0.27866545192677</v>
      </c>
      <c r="AB744">
        <f t="shared" si="46"/>
        <v>1.2020819512092304</v>
      </c>
      <c r="AC744" s="13">
        <f t="shared" si="47"/>
        <v>-2.2497761935990176E-2</v>
      </c>
      <c r="AD744" s="13"/>
      <c r="AE744" s="13"/>
      <c r="AF744" s="13"/>
    </row>
    <row r="745" spans="1:32">
      <c r="A745" s="1" t="s">
        <v>1523</v>
      </c>
      <c r="B745">
        <v>1123.5179487190737</v>
      </c>
      <c r="C745">
        <v>120.75323898253848</v>
      </c>
      <c r="D745">
        <v>1174.6412666666668</v>
      </c>
      <c r="E745">
        <v>2449.56</v>
      </c>
      <c r="F745">
        <v>1274.9187333333332</v>
      </c>
      <c r="G745">
        <v>0.35939196525515743</v>
      </c>
      <c r="H745">
        <v>18.693655525517158</v>
      </c>
      <c r="I745">
        <v>18.320398748679892</v>
      </c>
      <c r="J745">
        <v>20.168723411770191</v>
      </c>
      <c r="K745">
        <v>0</v>
      </c>
      <c r="L745">
        <f t="shared" si="44"/>
        <v>3.1054825025819524</v>
      </c>
      <c r="M745" t="s">
        <v>1505</v>
      </c>
      <c r="N745">
        <v>317</v>
      </c>
      <c r="O745">
        <v>9</v>
      </c>
      <c r="P745">
        <v>954</v>
      </c>
      <c r="Q745">
        <v>236.88543036160499</v>
      </c>
      <c r="R745">
        <v>298.98221087166502</v>
      </c>
      <c r="S745" t="s">
        <v>1524</v>
      </c>
      <c r="T745">
        <v>0</v>
      </c>
      <c r="U745">
        <v>0</v>
      </c>
      <c r="V745">
        <v>0</v>
      </c>
      <c r="W745">
        <v>3507.7914999999998</v>
      </c>
      <c r="X745">
        <v>8.5233746324907003E-2</v>
      </c>
      <c r="Y745">
        <v>12.09329891204834</v>
      </c>
      <c r="Z745">
        <v>10.14762496948242</v>
      </c>
      <c r="AA745">
        <f t="shared" si="45"/>
        <v>-0.27112277829355919</v>
      </c>
      <c r="AB745">
        <f t="shared" si="46"/>
        <v>1.130991961307765</v>
      </c>
      <c r="AC745" s="13">
        <f t="shared" si="47"/>
        <v>-0.22408189803119491</v>
      </c>
      <c r="AD745" s="13"/>
      <c r="AE745" s="13"/>
      <c r="AF745" s="13"/>
    </row>
    <row r="746" spans="1:32">
      <c r="A746" s="1" t="s">
        <v>1525</v>
      </c>
      <c r="B746">
        <v>136.92954110602554</v>
      </c>
      <c r="C746">
        <v>36.040915974100841</v>
      </c>
      <c r="D746">
        <v>47.46794933333333</v>
      </c>
      <c r="E746">
        <v>1625.0798666666667</v>
      </c>
      <c r="F746">
        <v>1577.6119173333336</v>
      </c>
      <c r="G746">
        <v>0.4779874213836478</v>
      </c>
      <c r="H746">
        <v>6.8708437729329108E-2</v>
      </c>
      <c r="I746">
        <v>4.6468629001410227</v>
      </c>
      <c r="J746">
        <v>1.4885117312501612</v>
      </c>
      <c r="K746">
        <v>1</v>
      </c>
      <c r="L746">
        <f t="shared" si="44"/>
        <v>3.1980001782846088</v>
      </c>
      <c r="M746" t="s">
        <v>1505</v>
      </c>
      <c r="N746">
        <v>328</v>
      </c>
      <c r="O746">
        <v>17</v>
      </c>
      <c r="P746">
        <v>987</v>
      </c>
      <c r="Q746">
        <v>432.489914398797</v>
      </c>
      <c r="R746">
        <v>545.86215196630201</v>
      </c>
      <c r="S746" t="s">
        <v>1526</v>
      </c>
      <c r="T746">
        <v>0</v>
      </c>
      <c r="U746">
        <v>0</v>
      </c>
      <c r="V746">
        <v>0</v>
      </c>
      <c r="W746">
        <v>1398.7328</v>
      </c>
      <c r="X746">
        <v>0.39025477343943199</v>
      </c>
      <c r="Y746">
        <v>10.30720329284668</v>
      </c>
      <c r="Z746">
        <v>10.772470474243161</v>
      </c>
      <c r="AA746">
        <f t="shared" si="45"/>
        <v>-0.25115060706554954</v>
      </c>
      <c r="AB746">
        <f t="shared" si="46"/>
        <v>-0.78671501752644757</v>
      </c>
      <c r="AC746" s="13">
        <f t="shared" si="47"/>
        <v>-3.4299491495773243E-2</v>
      </c>
      <c r="AD746" s="13"/>
      <c r="AE746" s="13"/>
      <c r="AF746" s="13"/>
    </row>
    <row r="747" spans="1:32">
      <c r="A747" s="1" t="s">
        <v>1527</v>
      </c>
      <c r="B747">
        <v>133.60837258865138</v>
      </c>
      <c r="C747">
        <v>30.550377066250764</v>
      </c>
      <c r="D747">
        <v>47.387974666666672</v>
      </c>
      <c r="E747">
        <v>2360.3069666666665</v>
      </c>
      <c r="F747">
        <v>2312.9189920000003</v>
      </c>
      <c r="G747">
        <v>0.47368421052631582</v>
      </c>
      <c r="H747">
        <v>0.29209436017856977</v>
      </c>
      <c r="I747">
        <v>20.818358343675829</v>
      </c>
      <c r="J747">
        <v>5.5554102181594889</v>
      </c>
      <c r="K747">
        <v>1</v>
      </c>
      <c r="L747">
        <f t="shared" si="44"/>
        <v>3.3641604222459844</v>
      </c>
      <c r="M747" t="s">
        <v>1505</v>
      </c>
      <c r="N747">
        <v>333</v>
      </c>
      <c r="O747">
        <v>7</v>
      </c>
      <c r="P747">
        <v>1002</v>
      </c>
      <c r="Q747">
        <v>175.41815302226601</v>
      </c>
      <c r="R747">
        <v>221.40199647382701</v>
      </c>
      <c r="S747" t="s">
        <v>1528</v>
      </c>
      <c r="T747">
        <v>0</v>
      </c>
      <c r="U747">
        <v>0</v>
      </c>
      <c r="V747">
        <v>0</v>
      </c>
      <c r="W747">
        <v>3247.3137000000002</v>
      </c>
      <c r="X747">
        <v>6.8180045701721897E-2</v>
      </c>
      <c r="Y747">
        <v>11.66579627990723</v>
      </c>
      <c r="Z747">
        <v>10.299734115600589</v>
      </c>
      <c r="AA747">
        <f t="shared" si="45"/>
        <v>-0.20263389252859615</v>
      </c>
      <c r="AB747">
        <f t="shared" si="46"/>
        <v>-0.763714214333019</v>
      </c>
      <c r="AC747" s="13">
        <f t="shared" si="47"/>
        <v>-0.28371963013155871</v>
      </c>
      <c r="AD747" s="13"/>
      <c r="AE747" s="13"/>
      <c r="AF747" s="13"/>
    </row>
    <row r="748" spans="1:32">
      <c r="A748" s="1" t="s">
        <v>1529</v>
      </c>
      <c r="B748">
        <v>124.17529325027594</v>
      </c>
      <c r="C748">
        <v>5.4782097823408096</v>
      </c>
      <c r="D748">
        <v>3856.0997333333339</v>
      </c>
      <c r="E748">
        <v>7020.78</v>
      </c>
      <c r="F748">
        <v>3164.6802666666663</v>
      </c>
      <c r="G748">
        <v>0.5790725326991677</v>
      </c>
      <c r="H748">
        <v>7.4420851852544254E-2</v>
      </c>
      <c r="I748">
        <v>26.867554190455433</v>
      </c>
      <c r="J748">
        <v>10.040736583852858</v>
      </c>
      <c r="K748">
        <v>1</v>
      </c>
      <c r="L748">
        <f t="shared" si="44"/>
        <v>3.5003298390179336</v>
      </c>
      <c r="M748" t="s">
        <v>1505</v>
      </c>
      <c r="N748">
        <v>851</v>
      </c>
      <c r="O748">
        <v>6</v>
      </c>
      <c r="P748">
        <v>2556</v>
      </c>
      <c r="Q748">
        <v>58.943323047723403</v>
      </c>
      <c r="R748">
        <v>74.394634630038695</v>
      </c>
      <c r="S748" t="s">
        <v>1530</v>
      </c>
      <c r="T748">
        <v>0</v>
      </c>
      <c r="U748">
        <v>0</v>
      </c>
      <c r="V748">
        <v>0</v>
      </c>
      <c r="W748">
        <v>8413.8889999999992</v>
      </c>
      <c r="X748">
        <v>8.8418844876654197E-3</v>
      </c>
      <c r="Y748">
        <v>5.5256829261779794</v>
      </c>
      <c r="Z748">
        <v>8.2029285430908203</v>
      </c>
      <c r="AA748">
        <f t="shared" si="45"/>
        <v>-0.14643334715050671</v>
      </c>
      <c r="AB748">
        <f t="shared" si="46"/>
        <v>-0.78612684208742778</v>
      </c>
      <c r="AC748" s="13">
        <f t="shared" si="47"/>
        <v>-0.39672764036290781</v>
      </c>
      <c r="AD748" s="13"/>
      <c r="AE748" s="13"/>
      <c r="AF748" s="13"/>
    </row>
    <row r="749" spans="1:32">
      <c r="A749" s="1" t="s">
        <v>1531</v>
      </c>
      <c r="B749">
        <v>439.08105785518478</v>
      </c>
      <c r="C749">
        <v>151.83493831331432</v>
      </c>
      <c r="D749">
        <v>176.35781266666666</v>
      </c>
      <c r="E749">
        <v>3639.8439999999996</v>
      </c>
      <c r="F749">
        <v>3463.4861873333334</v>
      </c>
      <c r="G749">
        <v>0.38393839383938394</v>
      </c>
      <c r="H749">
        <v>5.9219121937427532</v>
      </c>
      <c r="I749">
        <v>7.6445917468922583E-2</v>
      </c>
      <c r="J749">
        <v>4.4776275293890479E-2</v>
      </c>
      <c r="K749">
        <v>0</v>
      </c>
      <c r="L749">
        <f t="shared" si="44"/>
        <v>3.5395134599743372</v>
      </c>
      <c r="M749" t="s">
        <v>1505</v>
      </c>
      <c r="N749">
        <v>313</v>
      </c>
      <c r="O749">
        <v>10</v>
      </c>
      <c r="P749">
        <v>942</v>
      </c>
      <c r="Q749">
        <v>266.55897684002298</v>
      </c>
      <c r="R749">
        <v>336.43433495112998</v>
      </c>
      <c r="S749" t="s">
        <v>1532</v>
      </c>
      <c r="T749">
        <v>1</v>
      </c>
      <c r="U749">
        <v>122.44398187829</v>
      </c>
      <c r="V749">
        <v>0.48763315783029199</v>
      </c>
      <c r="W749">
        <v>3990.9070000000002</v>
      </c>
      <c r="X749">
        <v>8.4300219211104296E-2</v>
      </c>
      <c r="Y749">
        <v>11.90237617492676</v>
      </c>
      <c r="Z749">
        <v>10.189323425292971</v>
      </c>
      <c r="AA749">
        <f t="shared" si="45"/>
        <v>-0.12671766365663018</v>
      </c>
      <c r="AB749">
        <f t="shared" si="46"/>
        <v>-0.18404325483427328</v>
      </c>
      <c r="AC749" s="13">
        <f t="shared" si="47"/>
        <v>-0.19529157101576677</v>
      </c>
      <c r="AD749" s="13"/>
      <c r="AE749" s="13"/>
      <c r="AF749" s="13"/>
    </row>
    <row r="750" spans="1:32">
      <c r="A750" s="1" t="s">
        <v>1533</v>
      </c>
      <c r="B750">
        <v>212.39584278604198</v>
      </c>
      <c r="C750">
        <v>84.749988042918119</v>
      </c>
      <c r="D750">
        <v>13858.111266666667</v>
      </c>
      <c r="E750">
        <v>17500.494333333336</v>
      </c>
      <c r="F750">
        <v>3642.3830666666677</v>
      </c>
      <c r="G750">
        <v>0.41917502787068006</v>
      </c>
      <c r="H750">
        <v>1.1030612246648672</v>
      </c>
      <c r="I750">
        <v>8.2509971404889762E-2</v>
      </c>
      <c r="J750">
        <v>4.7769627866037896E-2</v>
      </c>
      <c r="K750">
        <v>0.99999999999999623</v>
      </c>
      <c r="L750">
        <f t="shared" si="44"/>
        <v>3.5613856182823649</v>
      </c>
      <c r="M750" t="s">
        <v>1505</v>
      </c>
      <c r="N750">
        <v>309</v>
      </c>
      <c r="O750">
        <v>4</v>
      </c>
      <c r="P750">
        <v>930</v>
      </c>
      <c r="Q750">
        <v>107.99937900357</v>
      </c>
      <c r="R750">
        <v>136.31016925761901</v>
      </c>
      <c r="S750" t="s">
        <v>1534</v>
      </c>
      <c r="T750">
        <v>2</v>
      </c>
      <c r="U750">
        <v>244.887963756581</v>
      </c>
      <c r="V750">
        <v>2.4381657891514599</v>
      </c>
      <c r="W750">
        <v>26037.293000000001</v>
      </c>
      <c r="X750">
        <v>5.23518974332774E-3</v>
      </c>
      <c r="Y750">
        <v>11.62199878692627</v>
      </c>
      <c r="Z750">
        <v>10.421567916870121</v>
      </c>
      <c r="AA750">
        <f t="shared" si="45"/>
        <v>-0.11491376685596115</v>
      </c>
      <c r="AB750">
        <f t="shared" si="46"/>
        <v>-0.68021347694577583</v>
      </c>
      <c r="AC750" s="13">
        <f t="shared" si="47"/>
        <v>-0.34913171534992765</v>
      </c>
      <c r="AD750" s="13"/>
      <c r="AE750" s="13"/>
      <c r="AF750" s="13"/>
    </row>
    <row r="751" spans="1:32">
      <c r="A751" s="1" t="s">
        <v>1535</v>
      </c>
      <c r="B751">
        <v>574.2234782692658</v>
      </c>
      <c r="C751">
        <v>218.25381584263121</v>
      </c>
      <c r="D751">
        <v>2.1058073333333334</v>
      </c>
      <c r="E751">
        <v>6251.9683333333342</v>
      </c>
      <c r="F751">
        <v>6249.8625260000008</v>
      </c>
      <c r="G751">
        <v>0.41299790356394128</v>
      </c>
      <c r="H751">
        <v>8.1092257812788571</v>
      </c>
      <c r="I751">
        <v>18.728619774545965</v>
      </c>
      <c r="J751">
        <v>3.7256025438195022</v>
      </c>
      <c r="K751">
        <v>0</v>
      </c>
      <c r="L751">
        <f t="shared" si="44"/>
        <v>3.7958704645670776</v>
      </c>
      <c r="M751" t="s">
        <v>1505</v>
      </c>
      <c r="N751">
        <v>328</v>
      </c>
      <c r="O751">
        <v>23</v>
      </c>
      <c r="P751">
        <v>987</v>
      </c>
      <c r="Q751">
        <v>585.13341359837295</v>
      </c>
      <c r="R751">
        <v>738.51938207205603</v>
      </c>
      <c r="S751" t="s">
        <v>1536</v>
      </c>
      <c r="T751">
        <v>5</v>
      </c>
      <c r="U751">
        <v>612.21990939145303</v>
      </c>
      <c r="V751">
        <v>1.06007208223976</v>
      </c>
      <c r="W751">
        <v>6176.1367</v>
      </c>
      <c r="X751">
        <v>0.11957626878175399</v>
      </c>
      <c r="Y751">
        <v>10.748945236206049</v>
      </c>
      <c r="Z751">
        <v>10.29574775695801</v>
      </c>
      <c r="AA751">
        <f t="shared" si="45"/>
        <v>5.7131819196360539E-2</v>
      </c>
      <c r="AB751">
        <f t="shared" si="46"/>
        <v>4.117223232634553E-2</v>
      </c>
      <c r="AC751" s="13">
        <f t="shared" si="47"/>
        <v>0.11380064415640892</v>
      </c>
      <c r="AD751" s="13"/>
      <c r="AE751" s="13"/>
      <c r="AF751" s="13"/>
    </row>
    <row r="752" spans="1:32">
      <c r="A752" s="1" t="s">
        <v>1537</v>
      </c>
      <c r="B752">
        <v>229.00693561884509</v>
      </c>
      <c r="C752">
        <v>23.248283610324393</v>
      </c>
      <c r="D752">
        <v>636.0945733333333</v>
      </c>
      <c r="E752">
        <v>10146.778</v>
      </c>
      <c r="F752">
        <v>9510.6834266666683</v>
      </c>
      <c r="G752">
        <v>0.58720699245133101</v>
      </c>
      <c r="H752">
        <v>6.8973238103174031E-2</v>
      </c>
      <c r="I752">
        <v>8.3932356334409472E-2</v>
      </c>
      <c r="J752">
        <v>4.2047268479553618E-2</v>
      </c>
      <c r="K752">
        <v>1</v>
      </c>
      <c r="L752">
        <f t="shared" si="44"/>
        <v>3.97821172595589</v>
      </c>
      <c r="M752" t="s">
        <v>1505</v>
      </c>
      <c r="N752">
        <v>849</v>
      </c>
      <c r="O752">
        <v>14</v>
      </c>
      <c r="P752">
        <v>2550</v>
      </c>
      <c r="Q752">
        <v>137.85803084573399</v>
      </c>
      <c r="R752">
        <v>173.995921934725</v>
      </c>
      <c r="S752" t="s">
        <v>1538</v>
      </c>
      <c r="T752">
        <v>1</v>
      </c>
      <c r="U752">
        <v>122.44398187829</v>
      </c>
      <c r="V752">
        <v>0.34830939845020897</v>
      </c>
      <c r="W752">
        <v>11411.019</v>
      </c>
      <c r="X752">
        <v>1.52480617142716E-2</v>
      </c>
      <c r="Y752">
        <v>5.822232723236084</v>
      </c>
      <c r="Z752">
        <v>8.519221305847168</v>
      </c>
      <c r="AA752">
        <f t="shared" si="45"/>
        <v>0.2722858986882436</v>
      </c>
      <c r="AB752">
        <f t="shared" si="46"/>
        <v>-0.78668775250805434</v>
      </c>
      <c r="AC752" s="13">
        <f t="shared" si="47"/>
        <v>-0.32016179254676874</v>
      </c>
      <c r="AD752" s="13"/>
      <c r="AE752" s="13"/>
      <c r="AF752" s="13"/>
    </row>
    <row r="753" spans="1:32">
      <c r="A753" s="1" t="s">
        <v>1539</v>
      </c>
      <c r="B753">
        <v>114.34838962315361</v>
      </c>
      <c r="C753">
        <v>7.6679381832262203</v>
      </c>
      <c r="D753">
        <v>357.94146999999998</v>
      </c>
      <c r="E753">
        <v>9949.7818333333325</v>
      </c>
      <c r="F753">
        <v>9591.8403633333328</v>
      </c>
      <c r="G753">
        <v>0.39490445859872614</v>
      </c>
      <c r="H753">
        <v>5.22319219759226E-2</v>
      </c>
      <c r="I753">
        <v>18.991831541497881</v>
      </c>
      <c r="J753">
        <v>4.9714051413077271</v>
      </c>
      <c r="K753">
        <v>1</v>
      </c>
      <c r="L753">
        <f t="shared" si="44"/>
        <v>3.9819019422029314</v>
      </c>
      <c r="M753" t="s">
        <v>1505</v>
      </c>
      <c r="N753">
        <v>324</v>
      </c>
      <c r="O753">
        <v>11</v>
      </c>
      <c r="P753">
        <v>975</v>
      </c>
      <c r="Q753">
        <v>283.29067877090398</v>
      </c>
      <c r="R753">
        <v>357.55205936036998</v>
      </c>
      <c r="S753" t="s">
        <v>1540</v>
      </c>
      <c r="T753">
        <v>2</v>
      </c>
      <c r="U753">
        <v>244.887963756581</v>
      </c>
      <c r="V753">
        <v>0.88660574150962201</v>
      </c>
      <c r="W753">
        <v>11084.989</v>
      </c>
      <c r="X753">
        <v>3.2255517742089797E-2</v>
      </c>
      <c r="Y753">
        <v>12.17499828338623</v>
      </c>
      <c r="Z753">
        <v>10.55242824554443</v>
      </c>
      <c r="AA753">
        <f t="shared" si="45"/>
        <v>0.27764076071066479</v>
      </c>
      <c r="AB753">
        <f t="shared" si="46"/>
        <v>-0.78841151250698349</v>
      </c>
      <c r="AC753" s="13">
        <f t="shared" si="47"/>
        <v>-0.17905788049734186</v>
      </c>
      <c r="AD753" s="13"/>
      <c r="AE753" s="13"/>
      <c r="AF753" s="13"/>
    </row>
    <row r="754" spans="1:32">
      <c r="A754" s="1" t="s">
        <v>1541</v>
      </c>
      <c r="B754">
        <v>122.6481422219823</v>
      </c>
      <c r="C754">
        <v>18.019579251824727</v>
      </c>
      <c r="D754">
        <v>0</v>
      </c>
      <c r="E754">
        <v>10205.820333333335</v>
      </c>
      <c r="F754">
        <v>10205.820333333335</v>
      </c>
      <c r="G754">
        <v>0.49349349349349347</v>
      </c>
      <c r="H754">
        <v>7.5293587259947406E-2</v>
      </c>
      <c r="I754">
        <v>0.16435277105771826</v>
      </c>
      <c r="J754">
        <v>5.4423427455232723E-2</v>
      </c>
      <c r="K754">
        <v>1</v>
      </c>
      <c r="L754">
        <f t="shared" si="44"/>
        <v>4.0088479185985317</v>
      </c>
      <c r="M754" t="s">
        <v>1505</v>
      </c>
      <c r="N754">
        <v>343</v>
      </c>
      <c r="O754">
        <v>12</v>
      </c>
      <c r="P754">
        <v>1032</v>
      </c>
      <c r="Q754">
        <v>291.97506532941998</v>
      </c>
      <c r="R754">
        <v>368.51295758600497</v>
      </c>
      <c r="S754" t="s">
        <v>1542</v>
      </c>
      <c r="T754">
        <v>2</v>
      </c>
      <c r="U754">
        <v>244.887963756581</v>
      </c>
      <c r="V754">
        <v>0.81272192971715396</v>
      </c>
      <c r="W754">
        <v>10890.769</v>
      </c>
      <c r="X754">
        <v>3.3837184278355803E-2</v>
      </c>
      <c r="Y754">
        <v>10.71950531005859</v>
      </c>
      <c r="Z754">
        <v>10.23861694335938</v>
      </c>
      <c r="AA754">
        <f t="shared" si="45"/>
        <v>0.31815212251063268</v>
      </c>
      <c r="AB754">
        <f t="shared" si="46"/>
        <v>-0.78603698138749845</v>
      </c>
      <c r="AC754" s="13">
        <f t="shared" si="47"/>
        <v>-0.17063198071047575</v>
      </c>
      <c r="AD754" s="13"/>
      <c r="AE754" s="13"/>
      <c r="AF754" s="13"/>
    </row>
    <row r="755" spans="1:32">
      <c r="A755" s="1" t="s">
        <v>1543</v>
      </c>
      <c r="B755">
        <v>129.40775978513167</v>
      </c>
      <c r="C755">
        <v>19.630094194120623</v>
      </c>
      <c r="D755">
        <v>0</v>
      </c>
      <c r="E755">
        <v>10251.709866666666</v>
      </c>
      <c r="F755">
        <v>10251.709866666666</v>
      </c>
      <c r="G755">
        <v>0.50380021715526602</v>
      </c>
      <c r="H755">
        <v>6.3288477676268676E-2</v>
      </c>
      <c r="I755">
        <v>7.5938142356419755E-2</v>
      </c>
      <c r="J755">
        <v>4.0571664070873453E-2</v>
      </c>
      <c r="K755">
        <v>1</v>
      </c>
      <c r="L755">
        <f t="shared" si="44"/>
        <v>4.0107963067310246</v>
      </c>
      <c r="M755" t="s">
        <v>1505</v>
      </c>
      <c r="N755">
        <v>317</v>
      </c>
      <c r="O755">
        <v>3</v>
      </c>
      <c r="P755">
        <v>954</v>
      </c>
      <c r="Q755">
        <v>78.961810120535205</v>
      </c>
      <c r="R755">
        <v>99.660736957221701</v>
      </c>
      <c r="S755" t="s">
        <v>1544</v>
      </c>
      <c r="T755">
        <v>0</v>
      </c>
      <c r="U755">
        <v>0</v>
      </c>
      <c r="V755">
        <v>0</v>
      </c>
      <c r="W755">
        <v>11162.574000000001</v>
      </c>
      <c r="X755">
        <v>8.9281143361039893E-3</v>
      </c>
      <c r="Y755">
        <v>12.46025562286377</v>
      </c>
      <c r="Z755">
        <v>10.66746997833252</v>
      </c>
      <c r="AA755">
        <f t="shared" si="45"/>
        <v>0.32117998592399166</v>
      </c>
      <c r="AB755">
        <f t="shared" si="46"/>
        <v>-0.7872730806001178</v>
      </c>
      <c r="AC755" s="13">
        <f t="shared" si="47"/>
        <v>-0.37730499435059001</v>
      </c>
      <c r="AD755" s="13"/>
      <c r="AE755" s="13"/>
      <c r="AF755" s="13"/>
    </row>
    <row r="756" spans="1:32">
      <c r="A756" s="1" t="s">
        <v>1545</v>
      </c>
      <c r="B756">
        <v>135.08694529787041</v>
      </c>
      <c r="C756">
        <v>21.561487619374549</v>
      </c>
      <c r="D756">
        <v>696.33296666666672</v>
      </c>
      <c r="E756">
        <v>13789.058166666668</v>
      </c>
      <c r="F756">
        <v>13092.725200000001</v>
      </c>
      <c r="G756">
        <v>0.45464135021097046</v>
      </c>
      <c r="H756">
        <v>0.16435151044149426</v>
      </c>
      <c r="I756">
        <v>0.12332358820959201</v>
      </c>
      <c r="J756">
        <v>2.9926310455371467E-2</v>
      </c>
      <c r="K756">
        <v>1</v>
      </c>
      <c r="L756">
        <f t="shared" si="44"/>
        <v>4.1170300526729084</v>
      </c>
      <c r="M756" t="s">
        <v>1505</v>
      </c>
      <c r="N756">
        <v>326</v>
      </c>
      <c r="O756">
        <v>19</v>
      </c>
      <c r="P756">
        <v>981</v>
      </c>
      <c r="Q756">
        <v>486.32747884635398</v>
      </c>
      <c r="R756">
        <v>613.81261232979898</v>
      </c>
      <c r="S756" t="s">
        <v>1546</v>
      </c>
      <c r="T756">
        <v>2</v>
      </c>
      <c r="U756">
        <v>244.887963756581</v>
      </c>
      <c r="V756">
        <v>0.51329806087399199</v>
      </c>
      <c r="W756">
        <v>11441.229499999999</v>
      </c>
      <c r="X756">
        <v>5.3649182749965697E-2</v>
      </c>
      <c r="Y756">
        <v>11.60388660430908</v>
      </c>
      <c r="Z756">
        <v>10.371217727661129</v>
      </c>
      <c r="AA756">
        <f t="shared" si="45"/>
        <v>0.50863463537765807</v>
      </c>
      <c r="AB756">
        <f t="shared" si="46"/>
        <v>-0.77686718348145689</v>
      </c>
      <c r="AC756" s="13">
        <f t="shared" si="47"/>
        <v>1.7935622607850761E-2</v>
      </c>
      <c r="AD756" s="13"/>
      <c r="AE756" s="13"/>
      <c r="AF756" s="13"/>
    </row>
    <row r="757" spans="1:32">
      <c r="A757" s="1" t="s">
        <v>1547</v>
      </c>
      <c r="B757">
        <v>121.52253716157061</v>
      </c>
      <c r="C757">
        <v>9.1419887535913844</v>
      </c>
      <c r="D757">
        <v>19385.867333333332</v>
      </c>
      <c r="E757">
        <v>39198.815333333332</v>
      </c>
      <c r="F757">
        <v>19812.948</v>
      </c>
      <c r="G757">
        <v>0.66392801251956191</v>
      </c>
      <c r="H757">
        <v>5.8461763824787044E-2</v>
      </c>
      <c r="I757">
        <v>22.524707742777</v>
      </c>
      <c r="J757">
        <v>11.574956527269409</v>
      </c>
      <c r="K757">
        <v>1</v>
      </c>
      <c r="L757">
        <f t="shared" si="44"/>
        <v>4.2969490997121449</v>
      </c>
      <c r="M757" t="s">
        <v>1505</v>
      </c>
      <c r="N757">
        <v>862</v>
      </c>
      <c r="O757">
        <v>12</v>
      </c>
      <c r="P757">
        <v>2589</v>
      </c>
      <c r="Q757">
        <v>116.384035310916</v>
      </c>
      <c r="R757">
        <v>146.89276640739899</v>
      </c>
      <c r="S757" t="s">
        <v>1548</v>
      </c>
      <c r="T757">
        <v>5</v>
      </c>
      <c r="U757">
        <v>612.21990939145303</v>
      </c>
      <c r="V757">
        <v>2.0318048242928799</v>
      </c>
      <c r="W757">
        <v>35642.949999999997</v>
      </c>
      <c r="X757">
        <v>4.1212292026164997E-3</v>
      </c>
      <c r="Y757">
        <v>5.9984054565429688</v>
      </c>
      <c r="Z757">
        <v>8.4104719161987305</v>
      </c>
      <c r="AA757">
        <f t="shared" si="45"/>
        <v>0.95204548024152569</v>
      </c>
      <c r="AB757">
        <f t="shared" si="46"/>
        <v>-0.78777006041939956</v>
      </c>
      <c r="AC757" s="13">
        <f t="shared" si="47"/>
        <v>-0.34099662448116225</v>
      </c>
      <c r="AD757" s="13"/>
      <c r="AE757" s="13"/>
      <c r="AF757" s="13"/>
    </row>
    <row r="758" spans="1:32">
      <c r="A758" s="1" t="s">
        <v>1549</v>
      </c>
      <c r="B758">
        <v>122.94958214905493</v>
      </c>
      <c r="C758">
        <v>18.191047975505622</v>
      </c>
      <c r="D758">
        <v>8138.8471333333337</v>
      </c>
      <c r="E758">
        <v>30429.98166666667</v>
      </c>
      <c r="F758">
        <v>22291.13453333333</v>
      </c>
      <c r="G758">
        <v>0.48717948717948717</v>
      </c>
      <c r="H758">
        <v>6.871198734529578E-2</v>
      </c>
      <c r="I758">
        <v>8.5048324510114737E-2</v>
      </c>
      <c r="J758">
        <v>5.0554954560469108E-2</v>
      </c>
      <c r="K758">
        <v>1</v>
      </c>
      <c r="L758">
        <f t="shared" si="44"/>
        <v>4.3481321729677731</v>
      </c>
      <c r="M758" t="s">
        <v>1505</v>
      </c>
      <c r="N758">
        <v>309</v>
      </c>
      <c r="O758">
        <v>22</v>
      </c>
      <c r="P758">
        <v>930</v>
      </c>
      <c r="Q758">
        <v>593.99658451963899</v>
      </c>
      <c r="R758">
        <v>749.70593091690603</v>
      </c>
      <c r="S758" t="s">
        <v>1550</v>
      </c>
      <c r="T758">
        <v>9</v>
      </c>
      <c r="U758">
        <v>1101.9958369046101</v>
      </c>
      <c r="V758">
        <v>1.99486291839665</v>
      </c>
      <c r="W758">
        <v>32753.873</v>
      </c>
      <c r="X758">
        <v>2.28890772983367E-2</v>
      </c>
      <c r="Y758">
        <v>11.80636692047119</v>
      </c>
      <c r="Z758">
        <v>10.32091617584229</v>
      </c>
      <c r="AA758">
        <f t="shared" si="45"/>
        <v>1.1155601161663335</v>
      </c>
      <c r="AB758">
        <f t="shared" si="46"/>
        <v>-0.78671465204227842</v>
      </c>
      <c r="AC758" s="13">
        <f t="shared" si="47"/>
        <v>0.12240000687169725</v>
      </c>
      <c r="AD758" s="13"/>
      <c r="AE758" s="13"/>
      <c r="AF758" s="13"/>
    </row>
    <row r="759" spans="1:32">
      <c r="A759" s="1" t="s">
        <v>1551</v>
      </c>
      <c r="B759">
        <v>945.01210625766453</v>
      </c>
      <c r="C759">
        <v>191.52167294259678</v>
      </c>
      <c r="D759">
        <v>6557.107633333334</v>
      </c>
      <c r="E759">
        <v>5783.9635333333326</v>
      </c>
      <c r="F759">
        <v>-773.14410000000044</v>
      </c>
      <c r="G759">
        <v>0.39642481598317558</v>
      </c>
      <c r="H759">
        <v>19.118458461260122</v>
      </c>
      <c r="I759">
        <v>1.0680272642720576</v>
      </c>
      <c r="J759">
        <v>0.75816034169757118</v>
      </c>
      <c r="K759">
        <v>0</v>
      </c>
      <c r="L759" t="e">
        <f t="shared" si="44"/>
        <v>#NUM!</v>
      </c>
      <c r="M759" t="s">
        <v>1505</v>
      </c>
      <c r="N759">
        <v>327</v>
      </c>
      <c r="O759">
        <v>38</v>
      </c>
      <c r="P759">
        <v>984</v>
      </c>
      <c r="Q759">
        <v>969.68954623632806</v>
      </c>
      <c r="R759">
        <v>1223.8824648283201</v>
      </c>
      <c r="S759" t="s">
        <v>1552</v>
      </c>
      <c r="T759">
        <v>2</v>
      </c>
      <c r="U759">
        <v>244.887963756581</v>
      </c>
      <c r="V759">
        <v>0.256649030436996</v>
      </c>
      <c r="W759">
        <v>6168.4862999999996</v>
      </c>
      <c r="X759">
        <v>0.19840888109426699</v>
      </c>
      <c r="Y759">
        <v>11.004536628723139</v>
      </c>
      <c r="Z759">
        <v>10.321627616882321</v>
      </c>
      <c r="AA759">
        <f t="shared" si="45"/>
        <v>-0.40625717759690072</v>
      </c>
      <c r="AB759">
        <f t="shared" si="46"/>
        <v>1.1747315515822361</v>
      </c>
      <c r="AC759" s="13">
        <f t="shared" si="47"/>
        <v>0.48691064037770837</v>
      </c>
      <c r="AD759" s="13"/>
      <c r="AE759" s="13"/>
      <c r="AF759" s="13"/>
    </row>
    <row r="760" spans="1:32">
      <c r="A760" s="1" t="s">
        <v>1553</v>
      </c>
      <c r="B760">
        <v>807.06564940134683</v>
      </c>
      <c r="C760">
        <v>158.19135319753536</v>
      </c>
      <c r="D760">
        <v>7170.4008666666668</v>
      </c>
      <c r="E760">
        <v>6797.6535666666668</v>
      </c>
      <c r="F760">
        <v>-372.74729999999971</v>
      </c>
      <c r="G760">
        <v>0.38834951456310679</v>
      </c>
      <c r="H760">
        <v>13.204631573583365</v>
      </c>
      <c r="I760">
        <v>21.143731179575155</v>
      </c>
      <c r="J760">
        <v>8.4232794640718502</v>
      </c>
      <c r="K760">
        <v>0</v>
      </c>
      <c r="L760" t="e">
        <f t="shared" si="44"/>
        <v>#NUM!</v>
      </c>
      <c r="M760" t="s">
        <v>1505</v>
      </c>
      <c r="N760">
        <v>319</v>
      </c>
      <c r="O760">
        <v>11</v>
      </c>
      <c r="P760">
        <v>960</v>
      </c>
      <c r="Q760">
        <v>287.71709562669997</v>
      </c>
      <c r="R760">
        <v>363.13881028787603</v>
      </c>
      <c r="S760" t="s">
        <v>1554</v>
      </c>
      <c r="T760">
        <v>2</v>
      </c>
      <c r="U760">
        <v>244.887963756581</v>
      </c>
      <c r="V760">
        <v>0.88660574150962201</v>
      </c>
      <c r="W760">
        <v>7468.22</v>
      </c>
      <c r="X760">
        <v>4.8624546449873698E-2</v>
      </c>
      <c r="Y760">
        <v>11.70385074615479</v>
      </c>
      <c r="Z760">
        <v>10.3349552154541</v>
      </c>
      <c r="AA760">
        <f t="shared" si="45"/>
        <v>-0.37983836848110936</v>
      </c>
      <c r="AB760">
        <f t="shared" si="46"/>
        <v>0.56581776295991626</v>
      </c>
      <c r="AC760" s="13">
        <f t="shared" si="47"/>
        <v>-0.174763213903389</v>
      </c>
      <c r="AD760" s="13"/>
      <c r="AE760" s="13"/>
      <c r="AF760" s="13"/>
    </row>
    <row r="761" spans="1:32">
      <c r="A761" s="1" t="s">
        <v>1555</v>
      </c>
      <c r="B761">
        <v>138.68458707729891</v>
      </c>
      <c r="C761">
        <v>18.794413310169507</v>
      </c>
      <c r="D761">
        <v>11894.107566666666</v>
      </c>
      <c r="E761">
        <v>10162.413666666665</v>
      </c>
      <c r="F761">
        <v>-1731.6938999999995</v>
      </c>
      <c r="G761">
        <v>0.41694537346711258</v>
      </c>
      <c r="H761">
        <v>0.15825644666626096</v>
      </c>
      <c r="I761">
        <v>24.545527284417446</v>
      </c>
      <c r="J761">
        <v>11.384962602994424</v>
      </c>
      <c r="K761">
        <v>1</v>
      </c>
      <c r="L761" t="e">
        <f t="shared" si="44"/>
        <v>#NUM!</v>
      </c>
      <c r="M761" t="s">
        <v>1505</v>
      </c>
      <c r="N761">
        <v>309</v>
      </c>
      <c r="O761">
        <v>9</v>
      </c>
      <c r="P761">
        <v>930</v>
      </c>
      <c r="Q761">
        <v>242.998602758034</v>
      </c>
      <c r="R761">
        <v>306.697880829643</v>
      </c>
      <c r="S761" t="s">
        <v>1556</v>
      </c>
      <c r="T761">
        <v>1</v>
      </c>
      <c r="U761">
        <v>122.44398187829</v>
      </c>
      <c r="V761">
        <v>0.54181461981143597</v>
      </c>
      <c r="W761">
        <v>16135.092000000001</v>
      </c>
      <c r="X761">
        <v>1.9008127182023101E-2</v>
      </c>
      <c r="Y761">
        <v>11.90288257598877</v>
      </c>
      <c r="Z761">
        <v>10.434920310974119</v>
      </c>
      <c r="AA761">
        <f t="shared" si="45"/>
        <v>-0.46950379743547083</v>
      </c>
      <c r="AB761">
        <f t="shared" si="46"/>
        <v>-0.77749475822210501</v>
      </c>
      <c r="AC761" s="13">
        <f t="shared" si="47"/>
        <v>-0.21815068139947591</v>
      </c>
      <c r="AD761" s="13"/>
      <c r="AE761" s="13"/>
      <c r="AF761" s="13"/>
    </row>
    <row r="762" spans="1:32">
      <c r="A762" s="1" t="s">
        <v>1557</v>
      </c>
      <c r="B762">
        <v>889.8233994780021</v>
      </c>
      <c r="C762">
        <v>9.96594171915911</v>
      </c>
      <c r="D762">
        <v>123.21838333333334</v>
      </c>
      <c r="E762">
        <v>96.507406666666668</v>
      </c>
      <c r="F762">
        <v>-26.710976666666667</v>
      </c>
      <c r="G762">
        <v>0.38942826321467094</v>
      </c>
      <c r="H762">
        <v>18.521557163621591</v>
      </c>
      <c r="I762">
        <v>30.18685126944359</v>
      </c>
      <c r="J762">
        <v>13.616315016175516</v>
      </c>
      <c r="K762">
        <v>0</v>
      </c>
      <c r="L762" t="e">
        <f t="shared" si="44"/>
        <v>#NUM!</v>
      </c>
      <c r="M762" t="s">
        <v>1505</v>
      </c>
      <c r="N762">
        <v>319</v>
      </c>
      <c r="O762">
        <v>3</v>
      </c>
      <c r="P762">
        <v>960</v>
      </c>
      <c r="Q762">
        <v>78.468298807281798</v>
      </c>
      <c r="R762">
        <v>99.037857351238998</v>
      </c>
      <c r="S762" t="s">
        <v>1558</v>
      </c>
      <c r="T762">
        <v>3</v>
      </c>
      <c r="U762">
        <v>367.331945634872</v>
      </c>
      <c r="V762">
        <v>4.8763315783029197</v>
      </c>
      <c r="W762">
        <v>88.149929999999998</v>
      </c>
      <c r="X762">
        <v>1.1235160067766199</v>
      </c>
      <c r="Y762">
        <v>11.81535530090332</v>
      </c>
      <c r="Z762">
        <v>10.28038311004639</v>
      </c>
      <c r="AA762">
        <f t="shared" si="45"/>
        <v>-0.35700634891133853</v>
      </c>
      <c r="AB762">
        <f t="shared" si="46"/>
        <v>1.1132719523274728</v>
      </c>
      <c r="AC762" s="13">
        <f t="shared" si="47"/>
        <v>-0.37778381652658816</v>
      </c>
      <c r="AD762" s="13"/>
      <c r="AE762" s="13"/>
      <c r="AF762" s="13"/>
    </row>
    <row r="763" spans="1:32">
      <c r="A763" s="1" t="s">
        <v>1559</v>
      </c>
      <c r="B763">
        <v>126.65627508754595</v>
      </c>
      <c r="C763">
        <v>17.69493397932656</v>
      </c>
      <c r="D763">
        <v>12150.766000000001</v>
      </c>
      <c r="E763">
        <v>33555.247666666663</v>
      </c>
      <c r="F763">
        <v>21404.481666666663</v>
      </c>
      <c r="G763">
        <v>0.57425742574257432</v>
      </c>
      <c r="H763">
        <v>5.2489684050982144E-2</v>
      </c>
      <c r="I763">
        <v>19.693564712123756</v>
      </c>
      <c r="J763">
        <v>17.42330160870635</v>
      </c>
      <c r="K763">
        <v>1</v>
      </c>
      <c r="L763">
        <f t="shared" si="44"/>
        <v>4.3305047153736886</v>
      </c>
      <c r="M763" t="s">
        <v>1560</v>
      </c>
      <c r="N763">
        <v>414</v>
      </c>
      <c r="O763">
        <v>18</v>
      </c>
      <c r="P763">
        <v>1245</v>
      </c>
      <c r="Q763">
        <v>363.03405713248401</v>
      </c>
      <c r="R763">
        <v>458.19924364910497</v>
      </c>
      <c r="S763" t="s">
        <v>1561</v>
      </c>
      <c r="T763">
        <v>6</v>
      </c>
      <c r="U763">
        <v>734.663891269744</v>
      </c>
      <c r="V763">
        <v>1.6254438594342999</v>
      </c>
      <c r="W763">
        <v>33406.17</v>
      </c>
      <c r="X763">
        <v>1.37160064637492E-2</v>
      </c>
      <c r="Y763">
        <v>10.76427173614502</v>
      </c>
      <c r="Z763">
        <v>8.1106109619140625</v>
      </c>
      <c r="AA763">
        <f t="shared" si="45"/>
        <v>1.0570573688006304</v>
      </c>
      <c r="AB763">
        <f t="shared" si="46"/>
        <v>-0.78838497218298198</v>
      </c>
      <c r="AC763" s="13">
        <f t="shared" si="47"/>
        <v>-0.10168802711582231</v>
      </c>
      <c r="AD763" s="13"/>
      <c r="AE763" s="13"/>
      <c r="AF763" s="13"/>
    </row>
    <row r="764" spans="1:32">
      <c r="A764" s="1" t="s">
        <v>1562</v>
      </c>
      <c r="B764">
        <v>1095.2448456209993</v>
      </c>
      <c r="C764">
        <v>100.71416334270477</v>
      </c>
      <c r="D764">
        <v>0</v>
      </c>
      <c r="E764">
        <v>46.469101666666667</v>
      </c>
      <c r="F764">
        <v>46.469101666666667</v>
      </c>
      <c r="G764">
        <v>0.45738396624472577</v>
      </c>
      <c r="H764">
        <v>17.251962537328186</v>
      </c>
      <c r="I764">
        <v>8.3242432040164613E-2</v>
      </c>
      <c r="J764">
        <v>4.0783018921679015E-2</v>
      </c>
      <c r="K764">
        <v>0</v>
      </c>
      <c r="L764">
        <f t="shared" si="44"/>
        <v>1.6671642768476951</v>
      </c>
      <c r="M764" t="s">
        <v>1563</v>
      </c>
      <c r="N764">
        <v>405</v>
      </c>
      <c r="O764">
        <v>36</v>
      </c>
      <c r="P764">
        <v>1218</v>
      </c>
      <c r="Q764">
        <v>742.16322024621195</v>
      </c>
      <c r="R764">
        <v>936.71273947969905</v>
      </c>
      <c r="S764" t="s">
        <v>1564</v>
      </c>
      <c r="T764">
        <v>2</v>
      </c>
      <c r="U764">
        <v>244.887963756581</v>
      </c>
      <c r="V764">
        <v>0.27090730990571799</v>
      </c>
      <c r="W764">
        <v>70.804270000000002</v>
      </c>
      <c r="X764">
        <v>13.229608037477099</v>
      </c>
      <c r="Y764">
        <v>9.2011222839355469</v>
      </c>
      <c r="Z764">
        <v>8.3724536895751953</v>
      </c>
      <c r="AA764">
        <f t="shared" si="45"/>
        <v>-0.35217781251802321</v>
      </c>
      <c r="AB764">
        <f t="shared" si="46"/>
        <v>0.98254887087884479</v>
      </c>
      <c r="AC764" s="13">
        <f t="shared" si="47"/>
        <v>0.26615653083307844</v>
      </c>
      <c r="AD764" s="13"/>
      <c r="AE764" s="13"/>
      <c r="AF764" s="13"/>
    </row>
    <row r="765" spans="1:32">
      <c r="A765" s="1" t="s">
        <v>1565</v>
      </c>
      <c r="B765">
        <v>1158.2698854116436</v>
      </c>
      <c r="C765">
        <v>137.12739095669411</v>
      </c>
      <c r="D765">
        <v>27.488806999999998</v>
      </c>
      <c r="E765">
        <v>600.87099666666666</v>
      </c>
      <c r="F765">
        <v>573.3821896666667</v>
      </c>
      <c r="G765">
        <v>0.48947951273532669</v>
      </c>
      <c r="H765">
        <v>19.911574079249856</v>
      </c>
      <c r="I765">
        <v>7.7577016134951507E-2</v>
      </c>
      <c r="J765">
        <v>4.6183629892853309E-2</v>
      </c>
      <c r="K765">
        <v>0</v>
      </c>
      <c r="L765">
        <f t="shared" si="44"/>
        <v>2.7584441988134358</v>
      </c>
      <c r="M765" t="s">
        <v>1563</v>
      </c>
      <c r="N765">
        <v>311</v>
      </c>
      <c r="O765">
        <v>5</v>
      </c>
      <c r="P765">
        <v>936</v>
      </c>
      <c r="Q765">
        <v>134.13384411501099</v>
      </c>
      <c r="R765">
        <v>169.29548265169001</v>
      </c>
      <c r="S765" t="s">
        <v>1566</v>
      </c>
      <c r="T765">
        <v>0</v>
      </c>
      <c r="U765">
        <v>0</v>
      </c>
      <c r="V765">
        <v>0</v>
      </c>
      <c r="W765">
        <v>690.98364000000004</v>
      </c>
      <c r="X765">
        <v>0.24500649921565501</v>
      </c>
      <c r="Y765">
        <v>12.10974597930908</v>
      </c>
      <c r="Z765">
        <v>10.871097564697269</v>
      </c>
      <c r="AA765">
        <f t="shared" si="45"/>
        <v>-0.31741126020670557</v>
      </c>
      <c r="AB765">
        <f t="shared" si="46"/>
        <v>1.2563942456276114</v>
      </c>
      <c r="AC765" s="13">
        <f t="shared" si="47"/>
        <v>-0.32377513057234031</v>
      </c>
      <c r="AD765" s="13"/>
      <c r="AE765" s="13"/>
      <c r="AF765" s="13"/>
    </row>
    <row r="766" spans="1:32">
      <c r="A766" s="1" t="s">
        <v>1567</v>
      </c>
      <c r="B766">
        <v>140.21669591401027</v>
      </c>
      <c r="C766">
        <v>8.3278133163965737</v>
      </c>
      <c r="D766">
        <v>9121.4686666666676</v>
      </c>
      <c r="E766">
        <v>12469.154666666667</v>
      </c>
      <c r="F766">
        <v>3347.6860000000001</v>
      </c>
      <c r="G766">
        <v>0.43248347497639283</v>
      </c>
      <c r="H766">
        <v>0.16976459695990995</v>
      </c>
      <c r="I766">
        <v>8.2491558302791243E-2</v>
      </c>
      <c r="J766">
        <v>4.4867331805155737E-2</v>
      </c>
      <c r="K766">
        <v>1</v>
      </c>
      <c r="L766">
        <f t="shared" si="44"/>
        <v>3.5247447160886849</v>
      </c>
      <c r="M766" t="s">
        <v>1563</v>
      </c>
      <c r="N766">
        <v>363</v>
      </c>
      <c r="O766">
        <v>26</v>
      </c>
      <c r="P766">
        <v>1092</v>
      </c>
      <c r="Q766">
        <v>597.85370519833702</v>
      </c>
      <c r="R766">
        <v>754.57415124753504</v>
      </c>
      <c r="S766" t="s">
        <v>1568</v>
      </c>
      <c r="T766">
        <v>1</v>
      </c>
      <c r="U766">
        <v>122.44398187829</v>
      </c>
      <c r="V766">
        <v>0.18755121455011201</v>
      </c>
      <c r="W766">
        <v>12679.964</v>
      </c>
      <c r="X766">
        <v>5.9509171417800197E-2</v>
      </c>
      <c r="Y766">
        <v>9.2626056671142578</v>
      </c>
      <c r="Z766">
        <v>11.324349403381349</v>
      </c>
      <c r="AA766">
        <f t="shared" si="45"/>
        <v>-0.134358341715826</v>
      </c>
      <c r="AB766">
        <f t="shared" si="46"/>
        <v>-0.77630982813733318</v>
      </c>
      <c r="AC766" s="13">
        <f t="shared" si="47"/>
        <v>0.12614232212742352</v>
      </c>
      <c r="AD766" s="13"/>
      <c r="AE766" s="13"/>
      <c r="AF766" s="13"/>
    </row>
    <row r="767" spans="1:32">
      <c r="A767" s="1" t="s">
        <v>1569</v>
      </c>
      <c r="B767">
        <v>898.51601662586893</v>
      </c>
      <c r="C767">
        <v>121.285943050146</v>
      </c>
      <c r="D767">
        <v>91.520198999999991</v>
      </c>
      <c r="E767">
        <v>60.073692833333332</v>
      </c>
      <c r="F767">
        <v>-31.446506166666666</v>
      </c>
      <c r="G767">
        <v>0.4267040149393091</v>
      </c>
      <c r="H767">
        <v>18.00443952129908</v>
      </c>
      <c r="I767">
        <v>13.195694860392477</v>
      </c>
      <c r="J767">
        <v>2.1423427074600823</v>
      </c>
      <c r="K767">
        <v>0</v>
      </c>
      <c r="L767" t="e">
        <f t="shared" si="44"/>
        <v>#NUM!</v>
      </c>
      <c r="M767" t="s">
        <v>1563</v>
      </c>
      <c r="N767">
        <v>367</v>
      </c>
      <c r="O767">
        <v>7</v>
      </c>
      <c r="P767">
        <v>1104</v>
      </c>
      <c r="Q767">
        <v>159.21104105825299</v>
      </c>
      <c r="R767">
        <v>200.946377234398</v>
      </c>
      <c r="S767" t="s">
        <v>1570</v>
      </c>
      <c r="T767">
        <v>1</v>
      </c>
      <c r="U767">
        <v>122.44398187829</v>
      </c>
      <c r="V767">
        <v>0.69661879690041795</v>
      </c>
      <c r="W767">
        <v>45.496662000000001</v>
      </c>
      <c r="X767">
        <v>4.4167279180700696</v>
      </c>
      <c r="AA767">
        <f t="shared" si="45"/>
        <v>-0.35731880657813986</v>
      </c>
      <c r="AB767">
        <f t="shared" si="46"/>
        <v>1.0600272313150623</v>
      </c>
      <c r="AC767" s="13">
        <f t="shared" si="47"/>
        <v>-0.29944434486220151</v>
      </c>
      <c r="AD767" s="13"/>
      <c r="AE767" s="13"/>
      <c r="AF767" s="13"/>
    </row>
    <row r="768" spans="1:32">
      <c r="N768" s="8"/>
      <c r="O768" s="13"/>
    </row>
    <row r="769" spans="15:15">
      <c r="O769" s="13"/>
    </row>
  </sheetData>
  <sortState xmlns:xlrd2="http://schemas.microsoft.com/office/spreadsheetml/2017/richdata2" ref="A2:AC772">
    <sortCondition ref="M2:M772"/>
  </sortState>
  <conditionalFormatting sqref="F1:H1 L1">
    <cfRule type="colorScale" priority="529">
      <colorScale>
        <cfvo type="min"/>
        <cfvo type="percentile" val="50"/>
        <cfvo type="max"/>
        <color rgb="FF00B050"/>
        <color theme="0"/>
        <color rgb="FFFF0000"/>
      </colorScale>
    </cfRule>
    <cfRule type="colorScale" priority="530">
      <colorScale>
        <cfvo type="min"/>
        <cfvo type="max"/>
        <color rgb="FF63BE7B"/>
        <color rgb="FFFCFCFF"/>
      </colorScale>
    </cfRule>
    <cfRule type="colorScale" priority="5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1:N1">
    <cfRule type="colorScale" priority="4">
      <colorScale>
        <cfvo type="min"/>
        <cfvo type="percentile" val="50"/>
        <cfvo type="max"/>
        <color rgb="FF00B050"/>
        <color theme="0"/>
        <color rgb="FFFF0000"/>
      </colorScale>
    </cfRule>
    <cfRule type="colorScale" priority="5">
      <colorScale>
        <cfvo type="min"/>
        <cfvo type="max"/>
        <color rgb="FF63BE7B"/>
        <color rgb="FFFCFCFF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00B050"/>
        <color theme="0"/>
        <color rgb="FFFF0000"/>
      </colorScale>
    </cfRule>
    <cfRule type="colorScale" priority="2">
      <colorScale>
        <cfvo type="min"/>
        <cfvo type="max"/>
        <color rgb="FF63BE7B"/>
        <color rgb="FFFCFCFF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C2389-688F-4574-95B9-CC9520A9B2A0}">
  <dimension ref="A1:R175"/>
  <sheetViews>
    <sheetView zoomScale="80" zoomScaleNormal="80" workbookViewId="0">
      <selection activeCell="K12" sqref="K12"/>
    </sheetView>
  </sheetViews>
  <sheetFormatPr defaultRowHeight="15"/>
  <cols>
    <col min="1" max="1" width="39.5703125" customWidth="1"/>
    <col min="7" max="7" width="17.42578125" style="9" customWidth="1"/>
    <col min="8" max="10" width="17.42578125" customWidth="1"/>
    <col min="11" max="12" width="17.42578125" style="11" customWidth="1"/>
    <col min="15" max="15" width="26" customWidth="1"/>
    <col min="16" max="16" width="18.28515625" customWidth="1"/>
    <col min="17" max="17" width="25.28515625" style="16" customWidth="1"/>
    <col min="18" max="18" width="22.28515625" style="16" customWidth="1"/>
  </cols>
  <sheetData>
    <row r="1" spans="1:18" ht="15.75" thickBot="1">
      <c r="A1" s="1" t="s">
        <v>1571</v>
      </c>
      <c r="B1" s="1" t="s">
        <v>1572</v>
      </c>
      <c r="C1" s="1" t="s">
        <v>1573</v>
      </c>
      <c r="D1" s="1" t="s">
        <v>1574</v>
      </c>
      <c r="E1" s="1" t="s">
        <v>1575</v>
      </c>
      <c r="F1" s="1" t="s">
        <v>1576</v>
      </c>
      <c r="G1" s="7" t="s">
        <v>1577</v>
      </c>
      <c r="H1" s="1" t="s">
        <v>1578</v>
      </c>
      <c r="I1" s="1" t="s">
        <v>1579</v>
      </c>
      <c r="J1" s="1" t="s">
        <v>1574</v>
      </c>
      <c r="K1" s="10" t="s">
        <v>1580</v>
      </c>
      <c r="L1" s="10" t="s">
        <v>1581</v>
      </c>
      <c r="M1" s="10" t="s">
        <v>1582</v>
      </c>
      <c r="N1" s="10" t="s">
        <v>1583</v>
      </c>
      <c r="O1" s="10" t="s">
        <v>1584</v>
      </c>
      <c r="P1" s="10" t="s">
        <v>1585</v>
      </c>
      <c r="Q1" s="15" t="s">
        <v>24</v>
      </c>
      <c r="R1" s="15" t="s">
        <v>25</v>
      </c>
    </row>
    <row r="2" spans="1:18" ht="15.75" thickTop="1">
      <c r="A2" s="5" t="s">
        <v>1586</v>
      </c>
      <c r="B2">
        <v>4.1325117428491563E-2</v>
      </c>
      <c r="C2">
        <v>25.692633605817448</v>
      </c>
      <c r="D2">
        <v>7.2679205511692215</v>
      </c>
      <c r="E2">
        <v>2971.3614816689928</v>
      </c>
      <c r="F2">
        <v>610.22792851641111</v>
      </c>
      <c r="G2" s="8">
        <v>348</v>
      </c>
      <c r="H2">
        <v>5.7003962157717913E-2</v>
      </c>
      <c r="I2">
        <v>31.367061041401286</v>
      </c>
      <c r="J2">
        <v>29.770742138359523</v>
      </c>
      <c r="K2">
        <v>5026.9686226390577</v>
      </c>
      <c r="L2">
        <v>342.05377711496277</v>
      </c>
      <c r="M2" s="8">
        <v>346</v>
      </c>
      <c r="N2">
        <f t="shared" ref="N2:N33" si="0">G2-M2</f>
        <v>2</v>
      </c>
      <c r="O2">
        <f>E2-K2</f>
        <v>-2055.6071409700648</v>
      </c>
      <c r="P2">
        <f>O2/K2*100</f>
        <v>-40.891584875079495</v>
      </c>
      <c r="Q2" s="16">
        <v>10.54633903503418</v>
      </c>
      <c r="R2" s="16">
        <v>10.96180438995361</v>
      </c>
    </row>
    <row r="3" spans="1:18">
      <c r="A3" s="5" t="s">
        <v>1587</v>
      </c>
      <c r="B3">
        <v>4.5171785534165343E-2</v>
      </c>
      <c r="C3">
        <v>23.08582238946126</v>
      </c>
      <c r="D3">
        <v>5.4612703512563323</v>
      </c>
      <c r="E3">
        <v>120.84902093607035</v>
      </c>
      <c r="F3">
        <v>13.226075337359079</v>
      </c>
      <c r="G3" s="8">
        <v>152</v>
      </c>
      <c r="H3">
        <v>4.1008202814481455E-2</v>
      </c>
      <c r="I3">
        <v>27.994561377512429</v>
      </c>
      <c r="J3">
        <v>10.910652952421996</v>
      </c>
      <c r="K3">
        <v>6396.6661999062599</v>
      </c>
      <c r="L3">
        <v>112.89577873680199</v>
      </c>
      <c r="M3" s="8">
        <v>394</v>
      </c>
      <c r="N3">
        <f t="shared" si="0"/>
        <v>-242</v>
      </c>
      <c r="O3">
        <f t="shared" ref="O3:O66" si="1">E3-K3</f>
        <v>-6275.8171789701892</v>
      </c>
      <c r="P3">
        <f t="shared" ref="P3:P66" si="2">O3/K3*100</f>
        <v>-98.110749925674696</v>
      </c>
    </row>
    <row r="4" spans="1:18">
      <c r="A4" s="5" t="s">
        <v>1588</v>
      </c>
      <c r="B4">
        <v>6.5772092248373618E-2</v>
      </c>
      <c r="C4">
        <v>16.189292702313466</v>
      </c>
      <c r="D4">
        <v>5.3354115875454529</v>
      </c>
      <c r="E4">
        <v>132.84219370370712</v>
      </c>
      <c r="F4">
        <v>8.0145577835967572</v>
      </c>
      <c r="G4" s="8">
        <v>243</v>
      </c>
      <c r="H4">
        <v>4.1008202814481455E-2</v>
      </c>
      <c r="I4">
        <v>27.994561377512429</v>
      </c>
      <c r="J4">
        <v>10.910652952421996</v>
      </c>
      <c r="K4">
        <v>6396.6661999062599</v>
      </c>
      <c r="L4">
        <v>112.89577873680199</v>
      </c>
      <c r="M4" s="8">
        <v>394</v>
      </c>
      <c r="N4">
        <f t="shared" si="0"/>
        <v>-151</v>
      </c>
      <c r="O4">
        <f t="shared" si="1"/>
        <v>-6263.8240062025525</v>
      </c>
      <c r="P4">
        <f t="shared" si="2"/>
        <v>-97.923258935949249</v>
      </c>
    </row>
    <row r="5" spans="1:18">
      <c r="A5" s="5" t="s">
        <v>1589</v>
      </c>
      <c r="B5">
        <v>5.8401771210917865E-2</v>
      </c>
      <c r="C5">
        <v>20.100300074151146</v>
      </c>
      <c r="D5">
        <v>8.4999736127870786</v>
      </c>
      <c r="E5">
        <v>121.09061204430775</v>
      </c>
      <c r="F5">
        <v>12.853304271376055</v>
      </c>
      <c r="G5" s="8">
        <v>180</v>
      </c>
      <c r="H5">
        <v>4.1008202814481455E-2</v>
      </c>
      <c r="I5">
        <v>27.994561377512429</v>
      </c>
      <c r="J5">
        <v>10.910652952421996</v>
      </c>
      <c r="K5">
        <v>6396.6661999062599</v>
      </c>
      <c r="L5">
        <v>112.89577873680199</v>
      </c>
      <c r="M5" s="8">
        <v>394</v>
      </c>
      <c r="N5">
        <f t="shared" si="0"/>
        <v>-214</v>
      </c>
      <c r="O5">
        <f t="shared" si="1"/>
        <v>-6275.575587861952</v>
      </c>
      <c r="P5">
        <f t="shared" si="2"/>
        <v>-98.106973097234899</v>
      </c>
    </row>
    <row r="6" spans="1:18">
      <c r="A6" s="5" t="s">
        <v>1590</v>
      </c>
      <c r="B6">
        <v>6.2928692248552603E-2</v>
      </c>
      <c r="C6">
        <v>18.489501320635345</v>
      </c>
      <c r="D6">
        <v>7.7971264463008252</v>
      </c>
      <c r="E6">
        <v>192.10582382223052</v>
      </c>
      <c r="F6">
        <v>20.282183409890468</v>
      </c>
      <c r="G6" s="8">
        <v>134</v>
      </c>
      <c r="H6">
        <v>4.1008202814481455E-2</v>
      </c>
      <c r="I6">
        <v>27.994561377512429</v>
      </c>
      <c r="J6">
        <v>10.910652952421996</v>
      </c>
      <c r="K6">
        <v>6396.6661999062599</v>
      </c>
      <c r="L6">
        <v>112.89577873680199</v>
      </c>
      <c r="M6" s="8">
        <v>394</v>
      </c>
      <c r="N6">
        <f t="shared" si="0"/>
        <v>-260</v>
      </c>
      <c r="O6">
        <f t="shared" si="1"/>
        <v>-6204.5603760840295</v>
      </c>
      <c r="P6">
        <f t="shared" si="2"/>
        <v>-96.99678210776348</v>
      </c>
    </row>
    <row r="7" spans="1:18">
      <c r="A7" s="5" t="s">
        <v>1591</v>
      </c>
      <c r="B7">
        <v>8.4828249478509032E-2</v>
      </c>
      <c r="C7">
        <v>12.675785894521391</v>
      </c>
      <c r="D7">
        <v>4.2693281715924929</v>
      </c>
      <c r="E7">
        <v>108.92224718986715</v>
      </c>
      <c r="F7">
        <v>13.54645478132772</v>
      </c>
      <c r="G7" s="8">
        <v>220</v>
      </c>
      <c r="H7">
        <v>6.3543659922844678E-2</v>
      </c>
      <c r="I7">
        <v>18.822270366187414</v>
      </c>
      <c r="J7">
        <v>8.5678929279863141</v>
      </c>
      <c r="K7">
        <v>2199.5181791390401</v>
      </c>
      <c r="L7">
        <v>431.98795794159543</v>
      </c>
      <c r="M7" s="8">
        <v>372</v>
      </c>
      <c r="N7">
        <f t="shared" si="0"/>
        <v>-152</v>
      </c>
      <c r="O7">
        <f t="shared" si="1"/>
        <v>-2090.5959319491731</v>
      </c>
      <c r="P7">
        <f t="shared" si="2"/>
        <v>-95.047904208161498</v>
      </c>
    </row>
    <row r="8" spans="1:18">
      <c r="A8" s="5" t="s">
        <v>1592</v>
      </c>
      <c r="B8">
        <v>6.7089630256889091E-2</v>
      </c>
      <c r="C8">
        <v>15.579177402338592</v>
      </c>
      <c r="D8">
        <v>4.2678200572017655</v>
      </c>
      <c r="E8">
        <v>6373.8263206295969</v>
      </c>
      <c r="F8">
        <v>29.798956587803836</v>
      </c>
      <c r="G8" s="8">
        <v>506</v>
      </c>
      <c r="H8">
        <v>5.8881460634687431E-2</v>
      </c>
      <c r="I8">
        <v>17.483942457513411</v>
      </c>
      <c r="J8">
        <v>3.4875557315883547</v>
      </c>
      <c r="K8">
        <v>6416.5246851346164</v>
      </c>
      <c r="L8">
        <v>29.340542153911326</v>
      </c>
      <c r="M8" s="8">
        <v>478</v>
      </c>
      <c r="N8">
        <f t="shared" si="0"/>
        <v>28</v>
      </c>
      <c r="O8">
        <f t="shared" si="1"/>
        <v>-42.698364505019526</v>
      </c>
      <c r="P8">
        <f t="shared" si="2"/>
        <v>-0.66544378149031824</v>
      </c>
      <c r="Q8" s="16">
        <v>8.6578702926635742</v>
      </c>
      <c r="R8" s="16">
        <v>10.10654354095459</v>
      </c>
    </row>
    <row r="9" spans="1:18">
      <c r="A9" s="5" t="s">
        <v>1593</v>
      </c>
      <c r="B9">
        <v>5.915161391993199E-2</v>
      </c>
      <c r="C9">
        <v>16.957354632873198</v>
      </c>
      <c r="D9">
        <v>1.159635988459633</v>
      </c>
      <c r="E9">
        <v>6413.833360655557</v>
      </c>
      <c r="F9">
        <v>49.278442436446127</v>
      </c>
      <c r="G9" s="8">
        <v>457</v>
      </c>
      <c r="H9">
        <v>5.8881460634687431E-2</v>
      </c>
      <c r="I9">
        <v>17.483942457513411</v>
      </c>
      <c r="J9">
        <v>3.4875557315883547</v>
      </c>
      <c r="K9">
        <v>6416.5246851346164</v>
      </c>
      <c r="L9">
        <v>29.340542153911326</v>
      </c>
      <c r="M9" s="8">
        <v>478</v>
      </c>
      <c r="N9">
        <f t="shared" si="0"/>
        <v>-21</v>
      </c>
      <c r="O9">
        <f t="shared" si="1"/>
        <v>-2.6913244790594035</v>
      </c>
      <c r="P9">
        <f t="shared" si="2"/>
        <v>-4.1943647240919799E-2</v>
      </c>
    </row>
    <row r="10" spans="1:18">
      <c r="A10" s="5" t="s">
        <v>1594</v>
      </c>
      <c r="B10">
        <v>5.4719169666031686E-2</v>
      </c>
      <c r="C10">
        <v>20.059189493054951</v>
      </c>
      <c r="D10">
        <v>6.6817310802355561</v>
      </c>
      <c r="E10">
        <v>111.39746460558212</v>
      </c>
      <c r="F10">
        <v>14.360180690965198</v>
      </c>
      <c r="G10" s="8">
        <v>473</v>
      </c>
      <c r="H10">
        <v>4.3999811667671591E-2</v>
      </c>
      <c r="I10">
        <v>26.205683738857946</v>
      </c>
      <c r="J10">
        <v>10.288210896125179</v>
      </c>
      <c r="K10">
        <v>2636.011903059371</v>
      </c>
      <c r="L10">
        <v>632.07780135127643</v>
      </c>
      <c r="M10" s="8">
        <v>570</v>
      </c>
      <c r="N10">
        <f t="shared" si="0"/>
        <v>-97</v>
      </c>
      <c r="O10">
        <f t="shared" si="1"/>
        <v>-2524.6144384537888</v>
      </c>
      <c r="P10">
        <f t="shared" si="2"/>
        <v>-95.774015114412279</v>
      </c>
      <c r="Q10" s="16">
        <v>9.0108575820922852</v>
      </c>
      <c r="R10" s="16">
        <v>6.3391919136047363</v>
      </c>
    </row>
    <row r="11" spans="1:18">
      <c r="A11" s="5" t="s">
        <v>1595</v>
      </c>
      <c r="B11">
        <v>0.12780237609621878</v>
      </c>
      <c r="C11">
        <v>9.7711619301538253</v>
      </c>
      <c r="D11">
        <v>6.2263127137826668</v>
      </c>
      <c r="E11">
        <v>2367.3320942796727</v>
      </c>
      <c r="F11">
        <v>538.29411129436926</v>
      </c>
      <c r="G11" s="8">
        <v>916</v>
      </c>
      <c r="H11">
        <v>0.12034628967855376</v>
      </c>
      <c r="I11">
        <v>9.158197931106308</v>
      </c>
      <c r="J11">
        <v>3.0670348889791161</v>
      </c>
      <c r="K11">
        <v>1546.0900000164008</v>
      </c>
      <c r="L11">
        <v>393.40880013084387</v>
      </c>
      <c r="M11" s="8">
        <v>884</v>
      </c>
      <c r="N11">
        <f t="shared" si="0"/>
        <v>32</v>
      </c>
      <c r="O11">
        <f t="shared" si="1"/>
        <v>821.24209426327184</v>
      </c>
      <c r="P11">
        <f t="shared" si="2"/>
        <v>53.117353728085689</v>
      </c>
      <c r="Q11" s="16">
        <v>5.5841326713562012</v>
      </c>
      <c r="R11" s="16">
        <v>8.065119743347168</v>
      </c>
    </row>
    <row r="12" spans="1:18">
      <c r="A12" s="5" t="s">
        <v>1596</v>
      </c>
      <c r="B12">
        <v>1.1832197268821461</v>
      </c>
      <c r="C12">
        <v>0.84779034755823979</v>
      </c>
      <c r="D12">
        <v>5.7916423760785936E-2</v>
      </c>
      <c r="E12">
        <v>387.52624946860669</v>
      </c>
      <c r="F12">
        <v>62.256822343427125</v>
      </c>
      <c r="G12" s="8">
        <v>830</v>
      </c>
      <c r="H12">
        <v>0.95567940347202696</v>
      </c>
      <c r="I12">
        <v>1.0692174547227007</v>
      </c>
      <c r="J12">
        <v>0.19426254658222045</v>
      </c>
      <c r="K12">
        <v>948.07474824485655</v>
      </c>
      <c r="L12">
        <v>160.15621925268132</v>
      </c>
      <c r="M12" s="8">
        <v>895</v>
      </c>
      <c r="N12">
        <f t="shared" si="0"/>
        <v>-65</v>
      </c>
      <c r="O12">
        <f t="shared" si="1"/>
        <v>-560.54849877624986</v>
      </c>
      <c r="P12">
        <f t="shared" si="2"/>
        <v>-59.124926575038216</v>
      </c>
      <c r="Q12" s="16">
        <v>5.5235476493835449</v>
      </c>
      <c r="R12" s="16">
        <v>8.3547048568725586</v>
      </c>
    </row>
    <row r="13" spans="1:18">
      <c r="A13" s="5" t="s">
        <v>1597</v>
      </c>
      <c r="B13">
        <v>0.27593178813784219</v>
      </c>
      <c r="C13">
        <v>3.7127237294689444</v>
      </c>
      <c r="D13">
        <v>0.74122181725602876</v>
      </c>
      <c r="E13">
        <v>168.83677833723638</v>
      </c>
      <c r="F13">
        <v>36.786498774205874</v>
      </c>
      <c r="G13" s="8">
        <v>876</v>
      </c>
      <c r="H13">
        <v>0.95567940347202696</v>
      </c>
      <c r="I13">
        <v>1.0692174547227007</v>
      </c>
      <c r="J13">
        <v>0.19426254658222045</v>
      </c>
      <c r="K13">
        <v>948.07474824485655</v>
      </c>
      <c r="L13">
        <v>160.15621925268132</v>
      </c>
      <c r="M13" s="8">
        <v>895</v>
      </c>
      <c r="N13">
        <f t="shared" si="0"/>
        <v>-19</v>
      </c>
      <c r="O13">
        <f t="shared" si="1"/>
        <v>-779.23796990762014</v>
      </c>
      <c r="P13">
        <f t="shared" si="2"/>
        <v>-82.191617417318724</v>
      </c>
      <c r="Q13" s="16">
        <v>5.4318885803222656</v>
      </c>
      <c r="R13" s="16">
        <v>8.2515192031860352</v>
      </c>
    </row>
    <row r="14" spans="1:18">
      <c r="A14" s="5" t="s">
        <v>1598</v>
      </c>
      <c r="B14">
        <v>1.1077560688687764</v>
      </c>
      <c r="C14">
        <v>0.91189883964529084</v>
      </c>
      <c r="D14">
        <v>0.10861189140654948</v>
      </c>
      <c r="E14">
        <v>1283.709028169611</v>
      </c>
      <c r="F14">
        <v>360.9532763967299</v>
      </c>
      <c r="G14" s="8">
        <v>754</v>
      </c>
      <c r="H14">
        <v>0.95567940347202696</v>
      </c>
      <c r="I14">
        <v>1.0692174547227007</v>
      </c>
      <c r="J14">
        <v>0.19426254658222045</v>
      </c>
      <c r="K14">
        <v>948.07474824485655</v>
      </c>
      <c r="L14">
        <v>160.15621925268132</v>
      </c>
      <c r="M14" s="8">
        <v>895</v>
      </c>
      <c r="N14">
        <f t="shared" si="0"/>
        <v>-141</v>
      </c>
      <c r="O14">
        <f t="shared" si="1"/>
        <v>335.63427992475442</v>
      </c>
      <c r="P14">
        <f t="shared" si="2"/>
        <v>35.401668544184353</v>
      </c>
    </row>
    <row r="15" spans="1:18">
      <c r="A15" s="5" t="s">
        <v>1599</v>
      </c>
      <c r="B15">
        <v>8.6223422908782297</v>
      </c>
      <c r="C15">
        <v>0.11975933333008053</v>
      </c>
      <c r="D15">
        <v>2.4856861196647009E-2</v>
      </c>
      <c r="E15">
        <v>943.4315650938488</v>
      </c>
      <c r="F15">
        <v>97.038604433523176</v>
      </c>
      <c r="G15" s="8">
        <v>718</v>
      </c>
      <c r="H15">
        <v>0.95567940347202696</v>
      </c>
      <c r="I15">
        <v>1.0692174547227007</v>
      </c>
      <c r="J15">
        <v>0.19426254658222045</v>
      </c>
      <c r="K15">
        <v>948.07474824485655</v>
      </c>
      <c r="L15">
        <v>160.15621925268132</v>
      </c>
      <c r="M15" s="8">
        <v>895</v>
      </c>
      <c r="N15">
        <f t="shared" si="0"/>
        <v>-177</v>
      </c>
      <c r="O15">
        <f t="shared" si="1"/>
        <v>-4.6431831510077473</v>
      </c>
      <c r="P15">
        <f t="shared" si="2"/>
        <v>-0.48974863633943827</v>
      </c>
      <c r="Q15" s="16">
        <v>5.5513191223144531</v>
      </c>
      <c r="R15" s="16">
        <v>8.3654346466064453</v>
      </c>
    </row>
    <row r="16" spans="1:18">
      <c r="A16" s="5" t="s">
        <v>1600</v>
      </c>
      <c r="B16">
        <v>5.3693811655136363E-2</v>
      </c>
      <c r="C16">
        <v>19.917089129199862</v>
      </c>
      <c r="D16">
        <v>5.9998518148984026</v>
      </c>
      <c r="E16">
        <v>140.16168100628866</v>
      </c>
      <c r="F16">
        <v>20.225652493970262</v>
      </c>
      <c r="G16" s="8">
        <v>775</v>
      </c>
      <c r="H16">
        <v>5.9142550692848343E-2</v>
      </c>
      <c r="I16">
        <v>17.059777869868061</v>
      </c>
      <c r="J16">
        <v>2.0135986067738361</v>
      </c>
      <c r="K16">
        <v>6308.643852344986</v>
      </c>
      <c r="L16">
        <v>77.772205440988756</v>
      </c>
      <c r="M16" s="8">
        <v>833</v>
      </c>
      <c r="N16">
        <f t="shared" si="0"/>
        <v>-58</v>
      </c>
      <c r="O16">
        <f t="shared" si="1"/>
        <v>-6168.4821713386973</v>
      </c>
      <c r="P16">
        <f t="shared" si="2"/>
        <v>-97.778259729241341</v>
      </c>
      <c r="Q16" s="16">
        <v>5.4182958602905273</v>
      </c>
      <c r="R16" s="16">
        <v>8.2629776000976563</v>
      </c>
    </row>
    <row r="17" spans="1:18">
      <c r="A17" s="5" t="s">
        <v>1601</v>
      </c>
      <c r="B17">
        <v>7.9225026322635284E-2</v>
      </c>
      <c r="C17">
        <v>14.815217364394167</v>
      </c>
      <c r="D17">
        <v>7.2958061807563519</v>
      </c>
      <c r="E17">
        <v>137.71043895917327</v>
      </c>
      <c r="F17">
        <v>29.903106474700081</v>
      </c>
      <c r="G17" s="8">
        <v>841</v>
      </c>
      <c r="H17">
        <v>5.9142550692848343E-2</v>
      </c>
      <c r="I17">
        <v>17.059777869868061</v>
      </c>
      <c r="J17">
        <v>2.0135986067738361</v>
      </c>
      <c r="K17">
        <v>6308.643852344986</v>
      </c>
      <c r="L17">
        <v>77.772205440988756</v>
      </c>
      <c r="M17" s="8">
        <v>833</v>
      </c>
      <c r="N17">
        <f t="shared" si="0"/>
        <v>8</v>
      </c>
      <c r="O17">
        <f t="shared" si="1"/>
        <v>-6170.9334133858129</v>
      </c>
      <c r="P17">
        <f t="shared" si="2"/>
        <v>-97.8171150221456</v>
      </c>
      <c r="Q17" s="16">
        <v>5.4668684005737296</v>
      </c>
      <c r="R17" s="16">
        <v>8.2214889526367188</v>
      </c>
    </row>
    <row r="18" spans="1:18">
      <c r="A18" s="5" t="s">
        <v>1602</v>
      </c>
      <c r="B18">
        <v>0.23871908331220074</v>
      </c>
      <c r="C18">
        <v>4.369306528197761</v>
      </c>
      <c r="D18">
        <v>1.1618101717930529</v>
      </c>
      <c r="E18">
        <v>4218.3669249576697</v>
      </c>
      <c r="F18">
        <v>398.15326454572568</v>
      </c>
      <c r="G18" s="8">
        <v>610</v>
      </c>
      <c r="H18">
        <v>1.2327289473748759</v>
      </c>
      <c r="I18">
        <v>0.83489984321830801</v>
      </c>
      <c r="J18">
        <v>0.1648488914029437</v>
      </c>
      <c r="K18">
        <v>343.70167032063318</v>
      </c>
      <c r="L18">
        <v>12.86067335188307</v>
      </c>
      <c r="M18" s="8">
        <v>662</v>
      </c>
      <c r="N18">
        <f t="shared" si="0"/>
        <v>-52</v>
      </c>
      <c r="O18">
        <f t="shared" si="1"/>
        <v>3874.6652546370365</v>
      </c>
      <c r="P18">
        <f t="shared" si="2"/>
        <v>1127.3338447911615</v>
      </c>
      <c r="Q18" s="16">
        <v>5.608100414276123</v>
      </c>
      <c r="R18" s="16">
        <v>8.4381694793701172</v>
      </c>
    </row>
    <row r="19" spans="1:18">
      <c r="A19" s="5" t="s">
        <v>1603</v>
      </c>
      <c r="B19">
        <v>7.4447316562438859E-2</v>
      </c>
      <c r="C19">
        <v>16.868407684925476</v>
      </c>
      <c r="D19">
        <v>8.0638259271581969</v>
      </c>
      <c r="E19">
        <v>138.93551790465142</v>
      </c>
      <c r="F19">
        <v>22.380954987387831</v>
      </c>
      <c r="G19" s="8">
        <v>536</v>
      </c>
      <c r="H19">
        <v>1.2327289473748759</v>
      </c>
      <c r="I19">
        <v>0.83489984321830801</v>
      </c>
      <c r="J19">
        <v>0.1648488914029437</v>
      </c>
      <c r="K19">
        <v>343.70167032063318</v>
      </c>
      <c r="L19">
        <v>12.86067335188307</v>
      </c>
      <c r="M19" s="8">
        <v>662</v>
      </c>
      <c r="N19">
        <f t="shared" si="0"/>
        <v>-126</v>
      </c>
      <c r="O19">
        <f t="shared" si="1"/>
        <v>-204.76615241598176</v>
      </c>
      <c r="P19">
        <f t="shared" si="2"/>
        <v>-59.576711461704292</v>
      </c>
      <c r="Q19" s="16">
        <v>5.7388520240783691</v>
      </c>
      <c r="R19" s="16">
        <v>8.4129581451416016</v>
      </c>
    </row>
    <row r="20" spans="1:18">
      <c r="A20" s="5" t="s">
        <v>1604</v>
      </c>
      <c r="B20">
        <v>9.2880542860354368E-2</v>
      </c>
      <c r="C20">
        <v>10.780348845834508</v>
      </c>
      <c r="D20">
        <v>0.47729650948641372</v>
      </c>
      <c r="E20">
        <v>6402.8581480465509</v>
      </c>
      <c r="F20">
        <v>94.660237309522628</v>
      </c>
      <c r="G20" s="8">
        <v>796</v>
      </c>
      <c r="H20">
        <v>6.9774582870613333E-2</v>
      </c>
      <c r="I20">
        <v>19.642348203340692</v>
      </c>
      <c r="J20">
        <v>11.746501110734613</v>
      </c>
      <c r="K20">
        <v>6417.183689417303</v>
      </c>
      <c r="L20">
        <v>108.81003404849119</v>
      </c>
      <c r="M20" s="8">
        <v>845</v>
      </c>
      <c r="N20">
        <f t="shared" si="0"/>
        <v>-49</v>
      </c>
      <c r="O20">
        <f t="shared" si="1"/>
        <v>-14.325541370752035</v>
      </c>
      <c r="P20">
        <f t="shared" si="2"/>
        <v>-0.22323720286169385</v>
      </c>
      <c r="Q20" s="16">
        <v>5.7981700897216797</v>
      </c>
      <c r="R20" s="16">
        <v>8.3813362121582031</v>
      </c>
    </row>
    <row r="21" spans="1:18">
      <c r="A21" s="5" t="s">
        <v>1605</v>
      </c>
      <c r="B21">
        <v>0.20611402416024963</v>
      </c>
      <c r="C21">
        <v>5.6599785593015808</v>
      </c>
      <c r="D21">
        <v>2.7164834357143728</v>
      </c>
      <c r="E21">
        <v>5999.8773806173949</v>
      </c>
      <c r="F21">
        <v>187.91373601332225</v>
      </c>
      <c r="G21" s="8">
        <v>752</v>
      </c>
      <c r="H21">
        <v>6.9774582870613333E-2</v>
      </c>
      <c r="I21">
        <v>19.642348203340692</v>
      </c>
      <c r="J21">
        <v>11.746501110734613</v>
      </c>
      <c r="K21">
        <v>6417.183689417303</v>
      </c>
      <c r="L21">
        <v>108.81003404849119</v>
      </c>
      <c r="M21" s="8">
        <v>845</v>
      </c>
      <c r="N21">
        <f t="shared" si="0"/>
        <v>-93</v>
      </c>
      <c r="O21">
        <f t="shared" si="1"/>
        <v>-417.30630879990804</v>
      </c>
      <c r="P21">
        <f t="shared" si="2"/>
        <v>-6.5029509672303076</v>
      </c>
      <c r="Q21" s="16">
        <v>5.4742774963378906</v>
      </c>
      <c r="R21" s="16">
        <v>8.3216075897216797</v>
      </c>
    </row>
    <row r="22" spans="1:18">
      <c r="A22" s="5" t="s">
        <v>1606</v>
      </c>
      <c r="B22">
        <v>19.900692400595588</v>
      </c>
      <c r="C22">
        <v>6.1697882261515284E-2</v>
      </c>
      <c r="D22">
        <v>3.7610792806946534E-2</v>
      </c>
      <c r="E22">
        <v>864.21487100438083</v>
      </c>
      <c r="F22">
        <v>130.99124476514103</v>
      </c>
      <c r="G22" s="8">
        <v>1013</v>
      </c>
      <c r="H22">
        <v>19.280986534603727</v>
      </c>
      <c r="I22">
        <v>6.0342788568812943E-2</v>
      </c>
      <c r="J22">
        <v>2.9708502801327207E-2</v>
      </c>
      <c r="K22">
        <v>828.63742315350191</v>
      </c>
      <c r="L22">
        <v>130.19723581541612</v>
      </c>
      <c r="M22" s="8">
        <v>1027</v>
      </c>
      <c r="N22">
        <f t="shared" si="0"/>
        <v>-14</v>
      </c>
      <c r="O22">
        <f t="shared" si="1"/>
        <v>35.577447850878912</v>
      </c>
      <c r="P22">
        <f t="shared" si="2"/>
        <v>4.2934879425893762</v>
      </c>
    </row>
    <row r="23" spans="1:18">
      <c r="A23" s="6" t="s">
        <v>1607</v>
      </c>
      <c r="B23">
        <v>36.262058609558821</v>
      </c>
      <c r="C23">
        <v>4.0879521224095272E-2</v>
      </c>
      <c r="D23">
        <v>3.0205043149373459E-2</v>
      </c>
      <c r="E23">
        <v>1767.1601316326994</v>
      </c>
      <c r="F23">
        <v>964.76489750409132</v>
      </c>
      <c r="G23" s="8">
        <v>997</v>
      </c>
      <c r="H23">
        <v>19.280986534603727</v>
      </c>
      <c r="I23">
        <v>6.0342788568812943E-2</v>
      </c>
      <c r="J23">
        <v>2.9708502801327207E-2</v>
      </c>
      <c r="K23">
        <v>828.63742315350191</v>
      </c>
      <c r="L23">
        <v>130.19723581541612</v>
      </c>
      <c r="M23" s="8">
        <v>1027</v>
      </c>
      <c r="N23">
        <f t="shared" si="0"/>
        <v>-30</v>
      </c>
      <c r="O23">
        <f t="shared" si="1"/>
        <v>938.52270847919749</v>
      </c>
      <c r="P23">
        <f t="shared" si="2"/>
        <v>113.26096097705928</v>
      </c>
    </row>
    <row r="24" spans="1:18">
      <c r="A24" s="5" t="s">
        <v>1608</v>
      </c>
      <c r="B24">
        <v>17.716682041352321</v>
      </c>
      <c r="C24">
        <v>6.4057290331121661E-2</v>
      </c>
      <c r="D24">
        <v>3.0457329273274332E-2</v>
      </c>
      <c r="E24">
        <v>1041.3145232496879</v>
      </c>
      <c r="F24">
        <v>176.22892903810762</v>
      </c>
      <c r="G24" s="8">
        <v>1024</v>
      </c>
      <c r="H24">
        <v>19.280986534603727</v>
      </c>
      <c r="I24">
        <v>6.0342788568812943E-2</v>
      </c>
      <c r="J24">
        <v>2.9708502801327207E-2</v>
      </c>
      <c r="K24">
        <v>828.63742315350191</v>
      </c>
      <c r="L24">
        <v>130.19723581541612</v>
      </c>
      <c r="M24" s="8">
        <v>1027</v>
      </c>
      <c r="N24">
        <f t="shared" si="0"/>
        <v>-3</v>
      </c>
      <c r="O24">
        <f t="shared" si="1"/>
        <v>212.677100096186</v>
      </c>
      <c r="P24">
        <f t="shared" si="2"/>
        <v>25.665881621277968</v>
      </c>
    </row>
    <row r="25" spans="1:18">
      <c r="A25" s="5" t="s">
        <v>1609</v>
      </c>
      <c r="B25">
        <v>17.120455214013301</v>
      </c>
      <c r="C25">
        <v>6.0425275490952383E-2</v>
      </c>
      <c r="D25">
        <v>1.4360289242373946E-2</v>
      </c>
      <c r="E25">
        <v>1404.5332469595717</v>
      </c>
      <c r="F25">
        <v>369.1454646854566</v>
      </c>
      <c r="G25" s="8">
        <v>1005</v>
      </c>
      <c r="H25">
        <v>19.280986534603727</v>
      </c>
      <c r="I25">
        <v>6.0342788568812943E-2</v>
      </c>
      <c r="J25">
        <v>2.9708502801327207E-2</v>
      </c>
      <c r="K25">
        <v>828.63742315350191</v>
      </c>
      <c r="L25">
        <v>130.19723581541612</v>
      </c>
      <c r="M25" s="8">
        <v>1027</v>
      </c>
      <c r="N25">
        <f t="shared" si="0"/>
        <v>-22</v>
      </c>
      <c r="O25">
        <f t="shared" si="1"/>
        <v>575.89582380606976</v>
      </c>
      <c r="P25">
        <f t="shared" si="2"/>
        <v>69.499132879421893</v>
      </c>
    </row>
    <row r="26" spans="1:18">
      <c r="A26" s="5" t="s">
        <v>1610</v>
      </c>
      <c r="B26">
        <v>21.729086169175485</v>
      </c>
      <c r="C26">
        <v>5.9036833888002738E-2</v>
      </c>
      <c r="D26">
        <v>3.9595857605500308E-2</v>
      </c>
      <c r="E26">
        <v>727.50250498577304</v>
      </c>
      <c r="F26">
        <v>195.72302746600255</v>
      </c>
      <c r="G26" s="8">
        <v>976</v>
      </c>
      <c r="H26">
        <v>19.280986534603727</v>
      </c>
      <c r="I26">
        <v>6.0342788568812943E-2</v>
      </c>
      <c r="J26">
        <v>2.9708502801327207E-2</v>
      </c>
      <c r="K26">
        <v>828.63742315350191</v>
      </c>
      <c r="L26">
        <v>130.19723581541612</v>
      </c>
      <c r="M26" s="8">
        <v>1027</v>
      </c>
      <c r="N26">
        <f t="shared" si="0"/>
        <v>-51</v>
      </c>
      <c r="O26">
        <f t="shared" si="1"/>
        <v>-101.13491816772887</v>
      </c>
      <c r="P26">
        <f t="shared" si="2"/>
        <v>-12.204966290666071</v>
      </c>
    </row>
    <row r="27" spans="1:18">
      <c r="A27" s="5" t="s">
        <v>1611</v>
      </c>
      <c r="B27">
        <v>17.66340064207904</v>
      </c>
      <c r="C27">
        <v>6.5858829505190605E-2</v>
      </c>
      <c r="D27">
        <v>3.4468644970080238E-2</v>
      </c>
      <c r="E27">
        <v>790.58482521911299</v>
      </c>
      <c r="F27">
        <v>169.97614984001873</v>
      </c>
      <c r="G27" s="8">
        <v>1003</v>
      </c>
      <c r="H27">
        <v>19.280986534603727</v>
      </c>
      <c r="I27">
        <v>6.0342788568812943E-2</v>
      </c>
      <c r="J27">
        <v>2.9708502801327207E-2</v>
      </c>
      <c r="K27">
        <v>828.63742315350191</v>
      </c>
      <c r="L27">
        <v>130.19723581541612</v>
      </c>
      <c r="M27" s="8">
        <v>1027</v>
      </c>
      <c r="N27">
        <f t="shared" si="0"/>
        <v>-24</v>
      </c>
      <c r="O27">
        <f t="shared" si="1"/>
        <v>-38.052597934388928</v>
      </c>
      <c r="P27">
        <f t="shared" si="2"/>
        <v>-4.5921891615242476</v>
      </c>
    </row>
    <row r="28" spans="1:18">
      <c r="A28" s="5" t="s">
        <v>1612</v>
      </c>
      <c r="B28">
        <v>19.100472899354148</v>
      </c>
      <c r="C28">
        <v>6.0652816986080355E-2</v>
      </c>
      <c r="D28">
        <v>3.1302086549662399E-2</v>
      </c>
      <c r="E28">
        <v>971.74168151876984</v>
      </c>
      <c r="F28">
        <v>51.896193722054207</v>
      </c>
      <c r="G28" s="8">
        <v>1011</v>
      </c>
      <c r="H28">
        <v>19.280986534603727</v>
      </c>
      <c r="I28">
        <v>6.0342788568812943E-2</v>
      </c>
      <c r="J28">
        <v>2.9708502801327207E-2</v>
      </c>
      <c r="K28">
        <v>828.63742315350191</v>
      </c>
      <c r="L28">
        <v>130.19723581541612</v>
      </c>
      <c r="M28" s="8">
        <v>1027</v>
      </c>
      <c r="N28">
        <f t="shared" si="0"/>
        <v>-16</v>
      </c>
      <c r="O28">
        <f t="shared" si="1"/>
        <v>143.10425836526792</v>
      </c>
      <c r="P28">
        <f t="shared" si="2"/>
        <v>17.269828077600401</v>
      </c>
      <c r="Q28" s="16">
        <v>5.7987308502197266</v>
      </c>
      <c r="R28" s="16">
        <v>7.7904434204101563</v>
      </c>
    </row>
    <row r="29" spans="1:18">
      <c r="A29" s="5" t="s">
        <v>1613</v>
      </c>
      <c r="B29">
        <v>6.610932320232113E-2</v>
      </c>
      <c r="C29">
        <v>17.261461758367414</v>
      </c>
      <c r="D29">
        <v>6.8979381087801581</v>
      </c>
      <c r="E29">
        <v>107.19090197670967</v>
      </c>
      <c r="F29">
        <v>16.068061673326657</v>
      </c>
      <c r="G29" s="8">
        <v>135</v>
      </c>
      <c r="H29">
        <v>5.2895197228345292E-2</v>
      </c>
      <c r="I29">
        <v>20.775374710166773</v>
      </c>
      <c r="J29">
        <v>7.0899583735298011</v>
      </c>
      <c r="K29">
        <v>6411.648144633592</v>
      </c>
      <c r="L29">
        <v>62.54537664819118</v>
      </c>
      <c r="M29" s="8">
        <v>336</v>
      </c>
      <c r="N29">
        <f t="shared" si="0"/>
        <v>-201</v>
      </c>
      <c r="O29">
        <f t="shared" si="1"/>
        <v>-6304.457242656882</v>
      </c>
      <c r="P29">
        <f t="shared" si="2"/>
        <v>-98.328184897881115</v>
      </c>
      <c r="Q29" s="16">
        <v>12.82414722442627</v>
      </c>
      <c r="R29" s="16">
        <v>11.10372924804688</v>
      </c>
    </row>
    <row r="30" spans="1:18">
      <c r="A30" s="5" t="s">
        <v>1614</v>
      </c>
      <c r="B30">
        <v>0.75268173644444669</v>
      </c>
      <c r="C30">
        <v>1.6937021055371104</v>
      </c>
      <c r="D30">
        <v>0.82203767714255482</v>
      </c>
      <c r="E30">
        <v>185.9002735215046</v>
      </c>
      <c r="F30">
        <v>74.237189737150743</v>
      </c>
      <c r="G30" s="8">
        <v>97</v>
      </c>
      <c r="H30">
        <v>0.33080948390897918</v>
      </c>
      <c r="I30">
        <v>4.0553975830481521</v>
      </c>
      <c r="J30">
        <v>2.7183372296919788</v>
      </c>
      <c r="K30">
        <v>5779.255879474611</v>
      </c>
      <c r="L30">
        <v>121.8369040550314</v>
      </c>
      <c r="M30" s="8">
        <v>422</v>
      </c>
      <c r="N30">
        <f t="shared" si="0"/>
        <v>-325</v>
      </c>
      <c r="O30">
        <f t="shared" si="1"/>
        <v>-5593.3556059531065</v>
      </c>
      <c r="P30">
        <f t="shared" si="2"/>
        <v>-96.783318174546636</v>
      </c>
    </row>
    <row r="31" spans="1:18">
      <c r="A31" s="5" t="s">
        <v>1615</v>
      </c>
      <c r="B31">
        <v>18.215060693350562</v>
      </c>
      <c r="C31">
        <v>6.6019336459091568E-2</v>
      </c>
      <c r="D31">
        <v>3.8346372003731762E-2</v>
      </c>
      <c r="E31">
        <v>788.22268515739381</v>
      </c>
      <c r="F31">
        <v>88.898483691178811</v>
      </c>
      <c r="G31" s="8">
        <v>74</v>
      </c>
      <c r="H31">
        <v>0.33080948390897918</v>
      </c>
      <c r="I31">
        <v>4.0553975830481521</v>
      </c>
      <c r="J31">
        <v>2.7183372296919788</v>
      </c>
      <c r="K31">
        <v>5779.255879474611</v>
      </c>
      <c r="L31">
        <v>121.8369040550314</v>
      </c>
      <c r="M31" s="8">
        <v>422</v>
      </c>
      <c r="N31">
        <f t="shared" si="0"/>
        <v>-348</v>
      </c>
      <c r="O31">
        <f t="shared" si="1"/>
        <v>-4991.0331943172168</v>
      </c>
      <c r="P31">
        <f t="shared" si="2"/>
        <v>-86.361173452159875</v>
      </c>
    </row>
    <row r="32" spans="1:18">
      <c r="A32" s="5" t="s">
        <v>1616</v>
      </c>
      <c r="B32">
        <v>9.6070700155275048</v>
      </c>
      <c r="C32">
        <v>0.10948516853387226</v>
      </c>
      <c r="D32">
        <v>2.8603796596635447E-2</v>
      </c>
      <c r="E32">
        <v>569.63742023687371</v>
      </c>
      <c r="F32">
        <v>179.36419380531217</v>
      </c>
      <c r="G32" s="8">
        <v>85</v>
      </c>
      <c r="H32">
        <v>0.33080948390897918</v>
      </c>
      <c r="I32">
        <v>4.0553975830481521</v>
      </c>
      <c r="J32">
        <v>2.7183372296919788</v>
      </c>
      <c r="K32">
        <v>5779.255879474611</v>
      </c>
      <c r="L32">
        <v>121.8369040550314</v>
      </c>
      <c r="M32" s="8">
        <v>422</v>
      </c>
      <c r="N32">
        <f t="shared" si="0"/>
        <v>-337</v>
      </c>
      <c r="O32">
        <f t="shared" si="1"/>
        <v>-5209.6184592377376</v>
      </c>
      <c r="P32">
        <f t="shared" si="2"/>
        <v>-90.143412368018232</v>
      </c>
    </row>
    <row r="33" spans="1:18">
      <c r="A33" s="5" t="s">
        <v>1617</v>
      </c>
      <c r="B33">
        <v>0.25689766035250156</v>
      </c>
      <c r="C33">
        <v>4.7815255380871422</v>
      </c>
      <c r="D33">
        <v>2.1886054763141916</v>
      </c>
      <c r="E33">
        <v>6013.8346587270826</v>
      </c>
      <c r="F33">
        <v>158.74029889665965</v>
      </c>
      <c r="G33" s="8">
        <v>375</v>
      </c>
      <c r="H33">
        <v>0.33080948390897918</v>
      </c>
      <c r="I33">
        <v>4.0553975830481521</v>
      </c>
      <c r="J33">
        <v>2.7183372296919788</v>
      </c>
      <c r="K33">
        <v>5779.255879474611</v>
      </c>
      <c r="L33">
        <v>121.8369040550314</v>
      </c>
      <c r="M33" s="8">
        <v>422</v>
      </c>
      <c r="N33">
        <f t="shared" si="0"/>
        <v>-47</v>
      </c>
      <c r="O33">
        <f t="shared" si="1"/>
        <v>234.57877925247158</v>
      </c>
      <c r="P33">
        <f t="shared" si="2"/>
        <v>4.0589789437355215</v>
      </c>
      <c r="Q33" s="16">
        <v>10.779330253601071</v>
      </c>
      <c r="R33" s="16">
        <v>7.5963635444641113</v>
      </c>
    </row>
    <row r="34" spans="1:18">
      <c r="A34" s="5" t="s">
        <v>1618</v>
      </c>
      <c r="B34">
        <v>9.5885783008373929E-2</v>
      </c>
      <c r="C34">
        <v>10.789966731409393</v>
      </c>
      <c r="D34">
        <v>2.5433083728550172</v>
      </c>
      <c r="E34">
        <v>134.46857771523125</v>
      </c>
      <c r="F34">
        <v>10.97822463095361</v>
      </c>
      <c r="G34" s="8">
        <v>118</v>
      </c>
      <c r="H34">
        <v>0.33080948390897918</v>
      </c>
      <c r="I34">
        <v>4.0553975830481521</v>
      </c>
      <c r="J34">
        <v>2.7183372296919788</v>
      </c>
      <c r="K34">
        <v>5779.255879474611</v>
      </c>
      <c r="L34">
        <v>121.8369040550314</v>
      </c>
      <c r="M34" s="8">
        <v>422</v>
      </c>
      <c r="N34">
        <f t="shared" ref="N34:N65" si="3">G34-M34</f>
        <v>-304</v>
      </c>
      <c r="O34">
        <f t="shared" si="1"/>
        <v>-5644.7873017593802</v>
      </c>
      <c r="P34">
        <f t="shared" si="2"/>
        <v>-97.673254472209749</v>
      </c>
    </row>
    <row r="35" spans="1:18">
      <c r="A35" s="5" t="s">
        <v>1619</v>
      </c>
      <c r="B35">
        <v>8.2010313556880723E-2</v>
      </c>
      <c r="C35">
        <v>13.221846927694523</v>
      </c>
      <c r="D35">
        <v>4.7065424236913183</v>
      </c>
      <c r="E35">
        <v>742.58015310573035</v>
      </c>
      <c r="F35">
        <v>178.4226873496535</v>
      </c>
      <c r="G35" s="8">
        <v>465</v>
      </c>
      <c r="H35">
        <v>5.8712478517834538E-2</v>
      </c>
      <c r="I35">
        <v>17.47685966833436</v>
      </c>
      <c r="J35">
        <v>3.5908273104701376</v>
      </c>
      <c r="K35">
        <v>2114.1729740120304</v>
      </c>
      <c r="L35">
        <v>601.80898460659591</v>
      </c>
      <c r="M35" s="8">
        <v>476</v>
      </c>
      <c r="N35">
        <f t="shared" si="3"/>
        <v>-11</v>
      </c>
      <c r="O35">
        <f t="shared" si="1"/>
        <v>-1371.5928209062999</v>
      </c>
      <c r="P35">
        <f t="shared" si="2"/>
        <v>-64.876092815785611</v>
      </c>
      <c r="Q35" s="16">
        <v>9.270136833190918</v>
      </c>
      <c r="R35" s="16">
        <v>6.8941998481750488</v>
      </c>
    </row>
    <row r="36" spans="1:18">
      <c r="A36" s="5" t="s">
        <v>1620</v>
      </c>
      <c r="B36">
        <v>8.1961063187712999E-2</v>
      </c>
      <c r="C36">
        <v>12.667019441554993</v>
      </c>
      <c r="D36">
        <v>3.0951903021256406</v>
      </c>
      <c r="E36">
        <v>3189.8486714209344</v>
      </c>
      <c r="F36">
        <v>818.53347361211229</v>
      </c>
      <c r="G36" s="8">
        <v>439</v>
      </c>
      <c r="H36">
        <v>5.8712478517834538E-2</v>
      </c>
      <c r="I36">
        <v>17.47685966833436</v>
      </c>
      <c r="J36">
        <v>3.5908273104701376</v>
      </c>
      <c r="K36">
        <v>2114.1729740120304</v>
      </c>
      <c r="L36">
        <v>601.80898460659591</v>
      </c>
      <c r="M36" s="8">
        <v>476</v>
      </c>
      <c r="N36">
        <f t="shared" si="3"/>
        <v>-37</v>
      </c>
      <c r="O36">
        <f t="shared" si="1"/>
        <v>1075.6756974089039</v>
      </c>
      <c r="P36">
        <f t="shared" si="2"/>
        <v>50.879266296154199</v>
      </c>
      <c r="Q36" s="16">
        <v>8.776667594909668</v>
      </c>
      <c r="R36" s="16">
        <v>7.4246964454650879</v>
      </c>
    </row>
    <row r="37" spans="1:18">
      <c r="A37" s="5" t="s">
        <v>1621</v>
      </c>
      <c r="B37">
        <v>7.4602332455841372E-2</v>
      </c>
      <c r="C37">
        <v>14.055384052554379</v>
      </c>
      <c r="D37">
        <v>3.8323568356240578</v>
      </c>
      <c r="E37">
        <v>2822.9511520728229</v>
      </c>
      <c r="F37">
        <v>728.65546694526483</v>
      </c>
      <c r="G37" s="8">
        <v>485</v>
      </c>
      <c r="H37">
        <v>5.8712478517834538E-2</v>
      </c>
      <c r="I37">
        <v>17.47685966833436</v>
      </c>
      <c r="J37">
        <v>3.5908273104701376</v>
      </c>
      <c r="K37">
        <v>2114.1729740120304</v>
      </c>
      <c r="L37">
        <v>601.80898460659591</v>
      </c>
      <c r="M37" s="8">
        <v>476</v>
      </c>
      <c r="N37">
        <f t="shared" si="3"/>
        <v>9</v>
      </c>
      <c r="O37">
        <f t="shared" si="1"/>
        <v>708.77817806079247</v>
      </c>
      <c r="P37">
        <f t="shared" si="2"/>
        <v>33.525079866845338</v>
      </c>
      <c r="Q37" s="16">
        <v>9.9789056777954102</v>
      </c>
      <c r="R37" s="16">
        <v>6.7700700759887704</v>
      </c>
    </row>
    <row r="38" spans="1:18">
      <c r="A38" s="5" t="s">
        <v>1622</v>
      </c>
      <c r="B38">
        <v>9.224325694814435E-2</v>
      </c>
      <c r="C38">
        <v>10.849592427127853</v>
      </c>
      <c r="D38">
        <v>0.373953453137301</v>
      </c>
      <c r="E38">
        <v>2784.6046976691973</v>
      </c>
      <c r="F38">
        <v>814.31575789197927</v>
      </c>
      <c r="G38" s="8">
        <v>437</v>
      </c>
      <c r="H38">
        <v>5.8712478517834538E-2</v>
      </c>
      <c r="I38">
        <v>17.47685966833436</v>
      </c>
      <c r="J38">
        <v>3.5908273104701376</v>
      </c>
      <c r="K38">
        <v>2114.1729740120304</v>
      </c>
      <c r="L38">
        <v>601.80898460659591</v>
      </c>
      <c r="M38" s="8">
        <v>476</v>
      </c>
      <c r="N38">
        <f t="shared" si="3"/>
        <v>-39</v>
      </c>
      <c r="O38">
        <f t="shared" si="1"/>
        <v>670.43172365716691</v>
      </c>
      <c r="P38">
        <f t="shared" si="2"/>
        <v>31.711299496223333</v>
      </c>
      <c r="Q38" s="16">
        <v>9.3815879821777344</v>
      </c>
      <c r="R38" s="16">
        <v>6.9938468933105469</v>
      </c>
    </row>
    <row r="39" spans="1:18">
      <c r="A39" s="5" t="s">
        <v>1623</v>
      </c>
      <c r="B39">
        <v>6.4286125038761202E-2</v>
      </c>
      <c r="C39">
        <v>15.920584902843991</v>
      </c>
      <c r="D39">
        <v>2.8452130865608667</v>
      </c>
      <c r="E39">
        <v>121.9511823769077</v>
      </c>
      <c r="F39">
        <v>24.475200674694261</v>
      </c>
      <c r="G39" s="8">
        <v>195</v>
      </c>
      <c r="H39">
        <v>4.7593432516186612E-2</v>
      </c>
      <c r="I39">
        <v>21.569255019539739</v>
      </c>
      <c r="J39">
        <v>4.3858198496346859</v>
      </c>
      <c r="K39">
        <v>496.88510147844721</v>
      </c>
      <c r="L39">
        <v>41.167302960061804</v>
      </c>
      <c r="M39" s="8">
        <v>428</v>
      </c>
      <c r="N39">
        <f t="shared" si="3"/>
        <v>-233</v>
      </c>
      <c r="O39">
        <f t="shared" si="1"/>
        <v>-374.93391910153952</v>
      </c>
      <c r="P39">
        <f t="shared" si="2"/>
        <v>-75.456864773354965</v>
      </c>
    </row>
    <row r="40" spans="1:18">
      <c r="A40" s="5" t="s">
        <v>1624</v>
      </c>
      <c r="B40">
        <v>5.6208392193709739E-2</v>
      </c>
      <c r="C40">
        <v>18.559617895071892</v>
      </c>
      <c r="D40">
        <v>4.8383850950663927</v>
      </c>
      <c r="E40">
        <v>176.43969209561797</v>
      </c>
      <c r="F40">
        <v>16.703334459079496</v>
      </c>
      <c r="G40" s="8">
        <v>318</v>
      </c>
      <c r="H40">
        <v>4.6200691992035726E-2</v>
      </c>
      <c r="I40">
        <v>22.583870698959426</v>
      </c>
      <c r="J40">
        <v>5.5091477244737037</v>
      </c>
      <c r="K40">
        <v>6366.6055400544064</v>
      </c>
      <c r="L40">
        <v>75.699834154891732</v>
      </c>
      <c r="M40" s="8">
        <v>381</v>
      </c>
      <c r="N40">
        <f t="shared" si="3"/>
        <v>-63</v>
      </c>
      <c r="O40">
        <f t="shared" si="1"/>
        <v>-6190.1658479587886</v>
      </c>
      <c r="P40">
        <f t="shared" si="2"/>
        <v>-97.228669328018242</v>
      </c>
      <c r="Q40" s="16">
        <v>11.289986610412599</v>
      </c>
      <c r="R40" s="16">
        <v>9.4880895614624023</v>
      </c>
    </row>
    <row r="41" spans="1:18">
      <c r="A41" s="5" t="s">
        <v>1625</v>
      </c>
      <c r="B41">
        <v>5.2737010553909391E-2</v>
      </c>
      <c r="C41">
        <v>22.890789759357133</v>
      </c>
      <c r="D41">
        <v>12.309231517798517</v>
      </c>
      <c r="E41">
        <v>122.60481220466916</v>
      </c>
      <c r="F41">
        <v>18.023390861271213</v>
      </c>
      <c r="G41" s="8">
        <v>382</v>
      </c>
      <c r="H41">
        <v>4.6200691992035726E-2</v>
      </c>
      <c r="I41">
        <v>22.583870698959426</v>
      </c>
      <c r="J41">
        <v>5.5091477244737037</v>
      </c>
      <c r="K41">
        <v>6366.6055400544064</v>
      </c>
      <c r="L41">
        <v>75.699834154891732</v>
      </c>
      <c r="M41" s="8">
        <v>381</v>
      </c>
      <c r="N41">
        <f t="shared" si="3"/>
        <v>1</v>
      </c>
      <c r="O41">
        <f t="shared" si="1"/>
        <v>-6244.0007278497369</v>
      </c>
      <c r="P41">
        <f t="shared" si="2"/>
        <v>-98.074251476185822</v>
      </c>
    </row>
    <row r="42" spans="1:18">
      <c r="A42" s="5" t="s">
        <v>1626</v>
      </c>
      <c r="B42">
        <v>9.1890110548088919E-2</v>
      </c>
      <c r="C42">
        <v>11.796424567063523</v>
      </c>
      <c r="D42">
        <v>3.8190263586328763</v>
      </c>
      <c r="E42">
        <v>120.97515695291433</v>
      </c>
      <c r="F42">
        <v>22.889364281146047</v>
      </c>
      <c r="G42" s="8">
        <v>156</v>
      </c>
      <c r="H42">
        <v>0.92598453858295848</v>
      </c>
      <c r="I42">
        <v>1.2749691704554047</v>
      </c>
      <c r="J42">
        <v>0.69768061477371146</v>
      </c>
      <c r="K42">
        <v>326.81094205067944</v>
      </c>
      <c r="L42">
        <v>40.985776447097344</v>
      </c>
      <c r="M42" s="8">
        <v>492</v>
      </c>
      <c r="N42">
        <f t="shared" si="3"/>
        <v>-336</v>
      </c>
      <c r="O42">
        <f t="shared" si="1"/>
        <v>-205.8357850977651</v>
      </c>
      <c r="P42">
        <f t="shared" si="2"/>
        <v>-62.983137530886466</v>
      </c>
    </row>
    <row r="43" spans="1:18">
      <c r="A43" s="5" t="s">
        <v>1627</v>
      </c>
      <c r="B43">
        <v>4.7359475179650196E-2</v>
      </c>
      <c r="C43">
        <v>21.834516763440025</v>
      </c>
      <c r="D43">
        <v>4.9543624848162864</v>
      </c>
      <c r="E43">
        <v>120.54451473488518</v>
      </c>
      <c r="F43">
        <v>12.099821682240274</v>
      </c>
      <c r="G43" s="8">
        <v>145</v>
      </c>
      <c r="H43">
        <v>5.2853140145677345E-2</v>
      </c>
      <c r="I43">
        <v>21.824215980619858</v>
      </c>
      <c r="J43">
        <v>8.589879184872057</v>
      </c>
      <c r="K43">
        <v>2916.7577294661587</v>
      </c>
      <c r="L43">
        <v>827.1842387779684</v>
      </c>
      <c r="M43" s="8">
        <v>456</v>
      </c>
      <c r="N43">
        <f t="shared" si="3"/>
        <v>-311</v>
      </c>
      <c r="O43">
        <f t="shared" si="1"/>
        <v>-2796.2132147312736</v>
      </c>
      <c r="P43">
        <f t="shared" si="2"/>
        <v>-95.867174242238221</v>
      </c>
    </row>
    <row r="44" spans="1:18">
      <c r="A44" s="5" t="s">
        <v>1628</v>
      </c>
      <c r="B44">
        <v>5.9666186757002949E-2</v>
      </c>
      <c r="C44">
        <v>17.473625498234622</v>
      </c>
      <c r="D44">
        <v>4.5449487729340685</v>
      </c>
      <c r="E44">
        <v>2834.9583978052374</v>
      </c>
      <c r="F44">
        <v>763.38882264780023</v>
      </c>
      <c r="G44" s="8">
        <v>525</v>
      </c>
      <c r="H44">
        <v>5.2853140145677345E-2</v>
      </c>
      <c r="I44">
        <v>21.824215980619858</v>
      </c>
      <c r="J44">
        <v>8.589879184872057</v>
      </c>
      <c r="K44">
        <v>2916.7577294661587</v>
      </c>
      <c r="L44">
        <v>827.1842387779684</v>
      </c>
      <c r="M44" s="8">
        <v>456</v>
      </c>
      <c r="N44">
        <f t="shared" si="3"/>
        <v>69</v>
      </c>
      <c r="O44">
        <f t="shared" si="1"/>
        <v>-81.799331660921325</v>
      </c>
      <c r="P44">
        <f t="shared" si="2"/>
        <v>-2.8044609545233876</v>
      </c>
      <c r="Q44" s="16">
        <v>8.9071950912475586</v>
      </c>
      <c r="R44" s="16">
        <v>7.4064884185791016</v>
      </c>
    </row>
    <row r="45" spans="1:18">
      <c r="A45" s="5" t="s">
        <v>1629</v>
      </c>
      <c r="B45">
        <v>5.3518744050833289E-2</v>
      </c>
      <c r="C45">
        <v>20.006366487420571</v>
      </c>
      <c r="D45">
        <v>5.7517686381624529</v>
      </c>
      <c r="E45">
        <v>125.81711999380673</v>
      </c>
      <c r="F45">
        <v>20.650267203341453</v>
      </c>
      <c r="G45" s="8">
        <v>372</v>
      </c>
      <c r="H45">
        <v>5.2853140145677345E-2</v>
      </c>
      <c r="I45">
        <v>21.824215980619858</v>
      </c>
      <c r="J45">
        <v>8.589879184872057</v>
      </c>
      <c r="K45">
        <v>2916.7577294661587</v>
      </c>
      <c r="L45">
        <v>827.1842387779684</v>
      </c>
      <c r="M45" s="8">
        <v>456</v>
      </c>
      <c r="N45">
        <f t="shared" si="3"/>
        <v>-84</v>
      </c>
      <c r="O45">
        <f t="shared" si="1"/>
        <v>-2790.9406094723518</v>
      </c>
      <c r="P45">
        <f t="shared" si="2"/>
        <v>-95.686404848686735</v>
      </c>
    </row>
    <row r="46" spans="1:18">
      <c r="A46" s="5" t="s">
        <v>1630</v>
      </c>
      <c r="B46">
        <v>7.5015011240422799E-2</v>
      </c>
      <c r="C46">
        <v>14.67484056315301</v>
      </c>
      <c r="D46">
        <v>5.8115218496073568</v>
      </c>
      <c r="E46">
        <v>110.94234082920816</v>
      </c>
      <c r="F46">
        <v>16.534238486673285</v>
      </c>
      <c r="G46" s="8">
        <v>93</v>
      </c>
      <c r="H46">
        <v>5.4644626399456879E-2</v>
      </c>
      <c r="I46">
        <v>19.233378382324034</v>
      </c>
      <c r="J46">
        <v>4.8224723161822798</v>
      </c>
      <c r="K46">
        <v>423.70200244658355</v>
      </c>
      <c r="L46">
        <v>19.950878838464277</v>
      </c>
      <c r="M46" s="8">
        <v>372</v>
      </c>
      <c r="N46">
        <f t="shared" si="3"/>
        <v>-279</v>
      </c>
      <c r="O46">
        <f t="shared" si="1"/>
        <v>-312.7596616173754</v>
      </c>
      <c r="P46">
        <f t="shared" si="2"/>
        <v>-73.815950788857847</v>
      </c>
    </row>
    <row r="47" spans="1:18">
      <c r="A47" s="5" t="s">
        <v>1631</v>
      </c>
      <c r="B47">
        <v>7.2718012072088459E-2</v>
      </c>
      <c r="C47">
        <v>17.148384818416517</v>
      </c>
      <c r="D47">
        <v>9.5615954656660058</v>
      </c>
      <c r="E47">
        <v>106.1281247174299</v>
      </c>
      <c r="F47">
        <v>16.715423467970979</v>
      </c>
      <c r="G47" s="8">
        <v>150</v>
      </c>
      <c r="H47">
        <v>5.4644626399456879E-2</v>
      </c>
      <c r="I47">
        <v>19.233378382324034</v>
      </c>
      <c r="J47">
        <v>4.8224723161822798</v>
      </c>
      <c r="K47">
        <v>423.70200244658355</v>
      </c>
      <c r="L47">
        <v>19.950878838464277</v>
      </c>
      <c r="M47" s="8">
        <v>372</v>
      </c>
      <c r="N47">
        <f t="shared" si="3"/>
        <v>-222</v>
      </c>
      <c r="O47">
        <f t="shared" si="1"/>
        <v>-317.57387772915365</v>
      </c>
      <c r="P47">
        <f t="shared" si="2"/>
        <v>-74.952177685115004</v>
      </c>
    </row>
    <row r="48" spans="1:18">
      <c r="A48" s="5" t="s">
        <v>1632</v>
      </c>
      <c r="B48">
        <v>18.975008206833806</v>
      </c>
      <c r="C48">
        <v>6.2094790901578177E-2</v>
      </c>
      <c r="D48">
        <v>3.3836744541741869E-2</v>
      </c>
      <c r="E48">
        <v>852.58306302077199</v>
      </c>
      <c r="F48">
        <v>110.44684349977679</v>
      </c>
      <c r="G48" s="8">
        <v>131</v>
      </c>
      <c r="H48">
        <v>0.36767748741974171</v>
      </c>
      <c r="I48">
        <v>2.7941813403277922</v>
      </c>
      <c r="J48">
        <v>0.5280866851466901</v>
      </c>
      <c r="K48">
        <v>137.45096845824762</v>
      </c>
      <c r="L48">
        <v>19.785934517661083</v>
      </c>
      <c r="M48" s="8">
        <v>384</v>
      </c>
      <c r="N48">
        <f t="shared" si="3"/>
        <v>-253</v>
      </c>
      <c r="O48">
        <f t="shared" si="1"/>
        <v>715.13209456252434</v>
      </c>
      <c r="P48">
        <f t="shared" si="2"/>
        <v>520.2815975645558</v>
      </c>
    </row>
    <row r="49" spans="1:18">
      <c r="A49" s="5" t="s">
        <v>1633</v>
      </c>
      <c r="B49">
        <v>0.31243640255514765</v>
      </c>
      <c r="C49">
        <v>3.4067689516501143</v>
      </c>
      <c r="D49">
        <v>0.95626604793581327</v>
      </c>
      <c r="E49">
        <v>186.62592214466341</v>
      </c>
      <c r="F49">
        <v>35.722053322376468</v>
      </c>
      <c r="G49" s="8">
        <v>370</v>
      </c>
      <c r="H49">
        <v>0.36767748741974171</v>
      </c>
      <c r="I49">
        <v>2.7941813403277922</v>
      </c>
      <c r="J49">
        <v>0.5280866851466901</v>
      </c>
      <c r="K49">
        <v>137.45096845824762</v>
      </c>
      <c r="L49">
        <v>19.785934517661083</v>
      </c>
      <c r="M49" s="8">
        <v>384</v>
      </c>
      <c r="N49">
        <f t="shared" si="3"/>
        <v>-14</v>
      </c>
      <c r="O49">
        <f t="shared" si="1"/>
        <v>49.17495368641579</v>
      </c>
      <c r="P49">
        <f t="shared" si="2"/>
        <v>35.776360281778061</v>
      </c>
      <c r="Q49" s="16">
        <v>8.8863115310668945</v>
      </c>
      <c r="R49" s="16">
        <v>10.8816032409668</v>
      </c>
    </row>
    <row r="50" spans="1:18">
      <c r="A50" s="5" t="s">
        <v>1634</v>
      </c>
      <c r="B50">
        <v>0.13842709489118324</v>
      </c>
      <c r="C50">
        <v>9.9362249247051171</v>
      </c>
      <c r="D50">
        <v>5.3208302852466822</v>
      </c>
      <c r="E50">
        <v>135.99963893066555</v>
      </c>
      <c r="F50">
        <v>30.25590047015687</v>
      </c>
      <c r="G50" s="8">
        <v>386</v>
      </c>
      <c r="H50">
        <v>1.9467973190918688</v>
      </c>
      <c r="I50">
        <v>0.68795478357815354</v>
      </c>
      <c r="J50">
        <v>0.35536032038811916</v>
      </c>
      <c r="K50">
        <v>390.87571331376029</v>
      </c>
      <c r="L50">
        <v>98.805208329606273</v>
      </c>
      <c r="M50" s="8">
        <v>365</v>
      </c>
      <c r="N50">
        <f t="shared" si="3"/>
        <v>21</v>
      </c>
      <c r="O50">
        <f t="shared" si="1"/>
        <v>-254.87607438309473</v>
      </c>
      <c r="P50">
        <f t="shared" si="2"/>
        <v>-65.206423858445987</v>
      </c>
      <c r="Q50" s="16">
        <v>10.31792545318604</v>
      </c>
      <c r="R50" s="16">
        <v>9.4093427658081055</v>
      </c>
    </row>
    <row r="51" spans="1:18">
      <c r="A51" s="5" t="s">
        <v>1635</v>
      </c>
      <c r="B51">
        <v>5.3893850821279253E-2</v>
      </c>
      <c r="C51">
        <v>20.828036201681147</v>
      </c>
      <c r="D51">
        <v>9.3929055670518622</v>
      </c>
      <c r="E51">
        <v>2049.7404419551508</v>
      </c>
      <c r="F51">
        <v>370.39958691840928</v>
      </c>
      <c r="G51" s="8">
        <v>382</v>
      </c>
      <c r="H51">
        <v>5.931428375928758E-2</v>
      </c>
      <c r="I51">
        <v>19.667363610656821</v>
      </c>
      <c r="J51">
        <v>9.0575098817664426</v>
      </c>
      <c r="K51">
        <v>2438.5673209312095</v>
      </c>
      <c r="L51">
        <v>380.93275989412206</v>
      </c>
      <c r="M51" s="8">
        <v>388</v>
      </c>
      <c r="N51">
        <f t="shared" si="3"/>
        <v>-6</v>
      </c>
      <c r="O51">
        <f t="shared" si="1"/>
        <v>-388.82687897605865</v>
      </c>
      <c r="P51">
        <f t="shared" si="2"/>
        <v>-15.944890085198809</v>
      </c>
      <c r="Q51" s="16">
        <v>8.7242574691772461</v>
      </c>
      <c r="R51" s="16">
        <v>11.013671875</v>
      </c>
    </row>
    <row r="52" spans="1:18">
      <c r="A52" s="5" t="s">
        <v>1636</v>
      </c>
      <c r="B52">
        <v>0.18107021262506148</v>
      </c>
      <c r="C52">
        <v>5.7638500869446512</v>
      </c>
      <c r="D52">
        <v>1.3442474133981435</v>
      </c>
      <c r="E52">
        <v>652.63288817469675</v>
      </c>
      <c r="F52">
        <v>60.61275458667285</v>
      </c>
      <c r="G52" s="8">
        <v>367</v>
      </c>
      <c r="H52">
        <v>0.30056487006896365</v>
      </c>
      <c r="I52">
        <v>3.3415711647848654</v>
      </c>
      <c r="J52">
        <v>0.26385300046116278</v>
      </c>
      <c r="K52">
        <v>4059.5212142499763</v>
      </c>
      <c r="L52">
        <v>289.98372265117263</v>
      </c>
      <c r="M52" s="8">
        <v>379</v>
      </c>
      <c r="N52">
        <f t="shared" si="3"/>
        <v>-12</v>
      </c>
      <c r="O52">
        <f t="shared" si="1"/>
        <v>-3406.8883260752796</v>
      </c>
      <c r="P52">
        <f t="shared" si="2"/>
        <v>-83.92340244746633</v>
      </c>
      <c r="Q52" s="16">
        <v>9.0400400161743164</v>
      </c>
      <c r="R52" s="16">
        <v>10.95469760894775</v>
      </c>
    </row>
    <row r="53" spans="1:18">
      <c r="A53" s="5" t="s">
        <v>1637</v>
      </c>
      <c r="B53">
        <v>0.6412551360408999</v>
      </c>
      <c r="C53">
        <v>1.8529767423339198</v>
      </c>
      <c r="D53">
        <v>0.83719700096168337</v>
      </c>
      <c r="E53">
        <v>146.20128644660454</v>
      </c>
      <c r="F53">
        <v>23.782694353606214</v>
      </c>
      <c r="G53" s="8">
        <v>366</v>
      </c>
      <c r="H53">
        <v>2.7878890344407288</v>
      </c>
      <c r="I53">
        <v>0.3798532979240104</v>
      </c>
      <c r="J53">
        <v>0.10462528488782669</v>
      </c>
      <c r="K53">
        <v>569.46835006499202</v>
      </c>
      <c r="L53">
        <v>45.911279195341173</v>
      </c>
      <c r="M53" s="8">
        <v>354</v>
      </c>
      <c r="N53">
        <f t="shared" si="3"/>
        <v>12</v>
      </c>
      <c r="O53">
        <f t="shared" si="1"/>
        <v>-423.26706361838751</v>
      </c>
      <c r="P53">
        <f t="shared" si="2"/>
        <v>-74.326705526317852</v>
      </c>
      <c r="Q53" s="16">
        <v>9.5138835906982422</v>
      </c>
      <c r="R53" s="16">
        <v>10.114145278930661</v>
      </c>
    </row>
    <row r="54" spans="1:18">
      <c r="A54" s="5" t="s">
        <v>1638</v>
      </c>
      <c r="B54">
        <v>0.20794040103117092</v>
      </c>
      <c r="C54">
        <v>5.9309271923346829</v>
      </c>
      <c r="D54">
        <v>2.7797870097825825</v>
      </c>
      <c r="E54">
        <v>139.80575629855721</v>
      </c>
      <c r="F54">
        <v>37.325391679197089</v>
      </c>
      <c r="G54" s="8">
        <v>227</v>
      </c>
      <c r="H54">
        <v>2.7878890344407288</v>
      </c>
      <c r="I54">
        <v>0.3798532979240104</v>
      </c>
      <c r="J54">
        <v>0.10462528488782669</v>
      </c>
      <c r="K54">
        <v>569.46835006499202</v>
      </c>
      <c r="L54">
        <v>45.911279195341173</v>
      </c>
      <c r="M54" s="8">
        <v>354</v>
      </c>
      <c r="N54">
        <f t="shared" si="3"/>
        <v>-127</v>
      </c>
      <c r="O54">
        <f t="shared" si="1"/>
        <v>-429.66259376643484</v>
      </c>
      <c r="P54">
        <f t="shared" si="2"/>
        <v>-75.449775868562057</v>
      </c>
    </row>
    <row r="55" spans="1:18">
      <c r="A55" s="5" t="s">
        <v>1639</v>
      </c>
      <c r="B55">
        <v>0.20850209607263795</v>
      </c>
      <c r="C55">
        <v>4.9447591100426207</v>
      </c>
      <c r="D55">
        <v>1.1122156389259976</v>
      </c>
      <c r="E55">
        <v>126.70051227064489</v>
      </c>
      <c r="F55">
        <v>21.544080184284979</v>
      </c>
      <c r="G55" s="8">
        <v>144</v>
      </c>
      <c r="H55">
        <v>9.0116010031575058E-2</v>
      </c>
      <c r="I55">
        <v>11.450232321005894</v>
      </c>
      <c r="J55">
        <v>2.502252615261058</v>
      </c>
      <c r="K55">
        <v>2531.3534499082502</v>
      </c>
      <c r="L55">
        <v>128.11664156861119</v>
      </c>
      <c r="M55" s="8">
        <v>470</v>
      </c>
      <c r="N55">
        <f t="shared" si="3"/>
        <v>-326</v>
      </c>
      <c r="O55">
        <f t="shared" si="1"/>
        <v>-2404.6529376376052</v>
      </c>
      <c r="P55">
        <f t="shared" si="2"/>
        <v>-94.994752223351611</v>
      </c>
    </row>
    <row r="56" spans="1:18">
      <c r="A56" s="5" t="s">
        <v>1640</v>
      </c>
      <c r="B56">
        <v>9.798497787537859E-2</v>
      </c>
      <c r="C56">
        <v>10.995087846843719</v>
      </c>
      <c r="D56">
        <v>3.5923598873605709</v>
      </c>
      <c r="E56">
        <v>139.40926025911995</v>
      </c>
      <c r="F56">
        <v>18.135652170889511</v>
      </c>
      <c r="G56" s="8">
        <v>119</v>
      </c>
      <c r="H56">
        <v>0.16764272258206922</v>
      </c>
      <c r="I56">
        <v>6.238243064722476</v>
      </c>
      <c r="J56">
        <v>1.5872487209319635</v>
      </c>
      <c r="K56">
        <v>6172.1099108408343</v>
      </c>
      <c r="L56">
        <v>143.79538623430878</v>
      </c>
      <c r="M56" s="8">
        <v>600</v>
      </c>
      <c r="N56">
        <f t="shared" si="3"/>
        <v>-481</v>
      </c>
      <c r="O56">
        <f t="shared" si="1"/>
        <v>-6032.7006505817144</v>
      </c>
      <c r="P56">
        <f t="shared" si="2"/>
        <v>-97.741303018368825</v>
      </c>
    </row>
    <row r="57" spans="1:18">
      <c r="A57" s="5" t="s">
        <v>1641</v>
      </c>
      <c r="B57">
        <v>7.0347583611721207E-2</v>
      </c>
      <c r="C57">
        <v>14.44610048835974</v>
      </c>
      <c r="D57">
        <v>2.1650834165221826</v>
      </c>
      <c r="E57">
        <v>124.67223910431797</v>
      </c>
      <c r="F57">
        <v>13.547408041112591</v>
      </c>
      <c r="G57" s="8">
        <v>153</v>
      </c>
      <c r="H57">
        <v>0.10202156132818163</v>
      </c>
      <c r="I57">
        <v>10.237251472220622</v>
      </c>
      <c r="J57">
        <v>2.6066737208122146</v>
      </c>
      <c r="K57">
        <v>746.74800346052041</v>
      </c>
      <c r="L57">
        <v>64.498458511210544</v>
      </c>
      <c r="M57" s="8">
        <v>383</v>
      </c>
      <c r="N57">
        <f t="shared" si="3"/>
        <v>-230</v>
      </c>
      <c r="O57">
        <f t="shared" si="1"/>
        <v>-622.0757643562024</v>
      </c>
      <c r="P57">
        <f t="shared" si="2"/>
        <v>-83.304643798634643</v>
      </c>
    </row>
    <row r="58" spans="1:18">
      <c r="A58" s="5" t="s">
        <v>1642</v>
      </c>
      <c r="B58">
        <v>7.1010570114487345E-2</v>
      </c>
      <c r="C58">
        <v>14.86856352559591</v>
      </c>
      <c r="D58">
        <v>4.5260321464272817</v>
      </c>
      <c r="E58">
        <v>120.63364406312265</v>
      </c>
      <c r="F58">
        <v>9.6802650770388148</v>
      </c>
      <c r="G58" s="8">
        <v>157</v>
      </c>
      <c r="H58">
        <v>0.10202156132818163</v>
      </c>
      <c r="I58">
        <v>10.237251472220622</v>
      </c>
      <c r="J58">
        <v>2.6066737208122146</v>
      </c>
      <c r="K58">
        <v>746.74800346052041</v>
      </c>
      <c r="L58">
        <v>64.498458511210544</v>
      </c>
      <c r="M58" s="8">
        <v>383</v>
      </c>
      <c r="N58">
        <f t="shared" si="3"/>
        <v>-226</v>
      </c>
      <c r="O58">
        <f t="shared" si="1"/>
        <v>-626.11435939739772</v>
      </c>
      <c r="P58">
        <f t="shared" si="2"/>
        <v>-83.845468149350012</v>
      </c>
    </row>
    <row r="59" spans="1:18">
      <c r="A59" s="5" t="s">
        <v>1643</v>
      </c>
      <c r="B59">
        <v>7.3689012939360546E-2</v>
      </c>
      <c r="C59">
        <v>15.548233617021635</v>
      </c>
      <c r="D59">
        <v>7.6970202359940449</v>
      </c>
      <c r="E59">
        <v>125.72639710831443</v>
      </c>
      <c r="F59">
        <v>16.237047378618417</v>
      </c>
      <c r="G59" s="8">
        <v>83</v>
      </c>
      <c r="H59">
        <v>7.4342312395366483E-2</v>
      </c>
      <c r="I59">
        <v>13.6197885579125</v>
      </c>
      <c r="J59">
        <v>1.892982675546198</v>
      </c>
      <c r="K59">
        <v>510.49865754638887</v>
      </c>
      <c r="L59">
        <v>52.533462341373209</v>
      </c>
      <c r="M59" s="8">
        <v>365</v>
      </c>
      <c r="N59">
        <f t="shared" si="3"/>
        <v>-282</v>
      </c>
      <c r="O59">
        <f t="shared" si="1"/>
        <v>-384.77226043807445</v>
      </c>
      <c r="P59">
        <f t="shared" si="2"/>
        <v>-75.371845694444417</v>
      </c>
    </row>
    <row r="60" spans="1:18">
      <c r="A60" s="5" t="s">
        <v>1644</v>
      </c>
      <c r="B60">
        <v>5.0174822159039012E-2</v>
      </c>
      <c r="C60">
        <v>20.290719807843516</v>
      </c>
      <c r="D60">
        <v>3.3330549301323167</v>
      </c>
      <c r="E60">
        <v>119.46224694567051</v>
      </c>
      <c r="F60">
        <v>11.572895743790067</v>
      </c>
      <c r="G60" s="8">
        <v>237</v>
      </c>
      <c r="H60">
        <v>7.4342312395366483E-2</v>
      </c>
      <c r="I60">
        <v>13.6197885579125</v>
      </c>
      <c r="J60">
        <v>1.892982675546198</v>
      </c>
      <c r="K60">
        <v>510.49865754638887</v>
      </c>
      <c r="L60">
        <v>52.533462341373209</v>
      </c>
      <c r="M60" s="8">
        <v>365</v>
      </c>
      <c r="N60">
        <f t="shared" si="3"/>
        <v>-128</v>
      </c>
      <c r="O60">
        <f t="shared" si="1"/>
        <v>-391.03641060071834</v>
      </c>
      <c r="P60">
        <f t="shared" si="2"/>
        <v>-76.598910657308622</v>
      </c>
    </row>
    <row r="61" spans="1:18">
      <c r="A61" s="5" t="s">
        <v>1645</v>
      </c>
      <c r="B61">
        <v>6.2096064685340104E-2</v>
      </c>
      <c r="C61">
        <v>17.256566787862315</v>
      </c>
      <c r="D61">
        <v>4.9961689988446532</v>
      </c>
      <c r="E61">
        <v>112.23629036677829</v>
      </c>
      <c r="F61">
        <v>16.472088194660948</v>
      </c>
      <c r="G61" s="8">
        <v>188</v>
      </c>
      <c r="H61">
        <v>7.4342312395366483E-2</v>
      </c>
      <c r="I61">
        <v>13.6197885579125</v>
      </c>
      <c r="J61">
        <v>1.892982675546198</v>
      </c>
      <c r="K61">
        <v>510.49865754638887</v>
      </c>
      <c r="L61">
        <v>52.533462341373209</v>
      </c>
      <c r="M61" s="8">
        <v>365</v>
      </c>
      <c r="N61">
        <f t="shared" si="3"/>
        <v>-177</v>
      </c>
      <c r="O61">
        <f t="shared" si="1"/>
        <v>-398.26236717961058</v>
      </c>
      <c r="P61">
        <f t="shared" si="2"/>
        <v>-78.014380898429806</v>
      </c>
    </row>
    <row r="62" spans="1:18">
      <c r="A62" s="5" t="s">
        <v>1646</v>
      </c>
      <c r="B62">
        <v>5.5289135521812589E-2</v>
      </c>
      <c r="C62">
        <v>23.120934895778191</v>
      </c>
      <c r="D62">
        <v>12.28826095832561</v>
      </c>
      <c r="E62">
        <v>758.30128436014013</v>
      </c>
      <c r="F62">
        <v>183.90469758327066</v>
      </c>
      <c r="G62" s="8">
        <v>449</v>
      </c>
      <c r="H62">
        <v>0.13327237725939192</v>
      </c>
      <c r="I62">
        <v>7.9554245187466082</v>
      </c>
      <c r="J62">
        <v>2.1636331026972986</v>
      </c>
      <c r="K62">
        <v>129.59810888411025</v>
      </c>
      <c r="L62">
        <v>24.644476898802729</v>
      </c>
      <c r="M62" s="8">
        <v>482</v>
      </c>
      <c r="N62">
        <f t="shared" si="3"/>
        <v>-33</v>
      </c>
      <c r="O62">
        <f t="shared" si="1"/>
        <v>628.70317547602986</v>
      </c>
      <c r="P62">
        <f t="shared" si="2"/>
        <v>485.11755371232414</v>
      </c>
      <c r="Q62" s="16">
        <v>10.008744239807131</v>
      </c>
      <c r="R62" s="16">
        <v>6.6593875885009766</v>
      </c>
    </row>
    <row r="63" spans="1:18">
      <c r="A63" s="5" t="s">
        <v>1647</v>
      </c>
      <c r="B63">
        <v>0.11897753689504154</v>
      </c>
      <c r="C63">
        <v>8.6138926689610322</v>
      </c>
      <c r="D63">
        <v>1.7191270360318243</v>
      </c>
      <c r="E63">
        <v>3468.5646455857241</v>
      </c>
      <c r="F63">
        <v>408.16388740150637</v>
      </c>
      <c r="G63" s="8">
        <v>385</v>
      </c>
      <c r="H63">
        <v>5.7646128768416349E-2</v>
      </c>
      <c r="I63">
        <v>26.074756015091854</v>
      </c>
      <c r="J63">
        <v>15.368534541861857</v>
      </c>
      <c r="K63">
        <v>6434.9252193549182</v>
      </c>
      <c r="L63">
        <v>31.204214028515633</v>
      </c>
      <c r="M63" s="8">
        <v>454</v>
      </c>
      <c r="N63">
        <f t="shared" si="3"/>
        <v>-69</v>
      </c>
      <c r="O63">
        <f t="shared" si="1"/>
        <v>-2966.3605737691942</v>
      </c>
      <c r="P63">
        <f t="shared" si="2"/>
        <v>-46.097825112978747</v>
      </c>
      <c r="Q63" s="16">
        <v>9.5124397277832031</v>
      </c>
      <c r="R63" s="16">
        <v>9.0610027313232422</v>
      </c>
    </row>
    <row r="64" spans="1:18">
      <c r="A64" s="5" t="s">
        <v>1648</v>
      </c>
      <c r="B64">
        <v>5.1267518976953745E-2</v>
      </c>
      <c r="C64">
        <v>21.29142351166119</v>
      </c>
      <c r="D64">
        <v>7.0070654645916548</v>
      </c>
      <c r="E64">
        <v>122.11505986746734</v>
      </c>
      <c r="F64">
        <v>8.2749366257153518</v>
      </c>
      <c r="G64" s="8">
        <v>397</v>
      </c>
      <c r="H64">
        <v>0.12375609531197755</v>
      </c>
      <c r="I64">
        <v>8.3561002458273297</v>
      </c>
      <c r="J64">
        <v>1.7894797556837323</v>
      </c>
      <c r="K64">
        <v>195.87228886196485</v>
      </c>
      <c r="L64">
        <v>33.807304317446999</v>
      </c>
      <c r="M64" s="8">
        <v>365</v>
      </c>
      <c r="N64">
        <f t="shared" si="3"/>
        <v>32</v>
      </c>
      <c r="O64">
        <f t="shared" si="1"/>
        <v>-73.75722899449751</v>
      </c>
      <c r="P64">
        <f t="shared" si="2"/>
        <v>-37.655775313105018</v>
      </c>
      <c r="Q64" s="16">
        <v>10.92940616607666</v>
      </c>
      <c r="R64" s="16">
        <v>8.454503059387207</v>
      </c>
    </row>
    <row r="65" spans="1:18">
      <c r="A65" s="5" t="s">
        <v>1649</v>
      </c>
      <c r="B65">
        <v>7.3159683799786546E-2</v>
      </c>
      <c r="C65">
        <v>13.775949537419644</v>
      </c>
      <c r="D65">
        <v>1.446122905753868</v>
      </c>
      <c r="E65">
        <v>118.97896363722391</v>
      </c>
      <c r="F65">
        <v>14.044511333978184</v>
      </c>
      <c r="G65" s="8">
        <v>148</v>
      </c>
      <c r="H65">
        <v>5.3080120807593834E-2</v>
      </c>
      <c r="I65">
        <v>21.682663651287072</v>
      </c>
      <c r="J65">
        <v>10.332644349087218</v>
      </c>
      <c r="K65">
        <v>266.00560710113172</v>
      </c>
      <c r="L65">
        <v>3.4431379641907753</v>
      </c>
      <c r="M65" s="8">
        <v>370</v>
      </c>
      <c r="N65">
        <f t="shared" si="3"/>
        <v>-222</v>
      </c>
      <c r="O65">
        <f t="shared" si="1"/>
        <v>-147.02664346390782</v>
      </c>
      <c r="P65">
        <f t="shared" si="2"/>
        <v>-55.27200913776614</v>
      </c>
    </row>
    <row r="66" spans="1:18">
      <c r="A66" s="5" t="s">
        <v>1650</v>
      </c>
      <c r="B66">
        <v>6.1509364135766909E-2</v>
      </c>
      <c r="C66">
        <v>17.859261524407433</v>
      </c>
      <c r="D66">
        <v>6.0673173262005502</v>
      </c>
      <c r="E66">
        <v>115.86661146901524</v>
      </c>
      <c r="F66">
        <v>25.537487874470731</v>
      </c>
      <c r="G66" s="8">
        <v>182</v>
      </c>
      <c r="H66">
        <v>5.3080120807593834E-2</v>
      </c>
      <c r="I66">
        <v>21.682663651287072</v>
      </c>
      <c r="J66">
        <v>10.332644349087218</v>
      </c>
      <c r="K66">
        <v>266.00560710113172</v>
      </c>
      <c r="L66">
        <v>3.4431379641907753</v>
      </c>
      <c r="M66" s="8">
        <v>370</v>
      </c>
      <c r="N66">
        <f t="shared" ref="N66:N97" si="4">G66-M66</f>
        <v>-188</v>
      </c>
      <c r="O66">
        <f t="shared" si="1"/>
        <v>-150.13899563211646</v>
      </c>
      <c r="P66">
        <f t="shared" si="2"/>
        <v>-56.44204168036039</v>
      </c>
    </row>
    <row r="67" spans="1:18">
      <c r="A67" s="5" t="s">
        <v>1651</v>
      </c>
      <c r="B67">
        <v>6.56596696534298E-2</v>
      </c>
      <c r="C67">
        <v>17.228543056363606</v>
      </c>
      <c r="D67">
        <v>7.876991367039345</v>
      </c>
      <c r="E67">
        <v>116.3771515311908</v>
      </c>
      <c r="F67">
        <v>9.1334680394118006</v>
      </c>
      <c r="G67" s="8">
        <v>210</v>
      </c>
      <c r="H67">
        <v>5.3080120807593834E-2</v>
      </c>
      <c r="I67">
        <v>21.682663651287072</v>
      </c>
      <c r="J67">
        <v>10.332644349087218</v>
      </c>
      <c r="K67">
        <v>266.00560710113172</v>
      </c>
      <c r="L67">
        <v>3.4431379641907753</v>
      </c>
      <c r="M67" s="8">
        <v>370</v>
      </c>
      <c r="N67">
        <f t="shared" si="4"/>
        <v>-160</v>
      </c>
      <c r="O67">
        <f t="shared" ref="O67:O130" si="5">E67-K67</f>
        <v>-149.62845556994091</v>
      </c>
      <c r="P67">
        <f t="shared" ref="P67:P130" si="6">O67/K67*100</f>
        <v>-56.25011337187874</v>
      </c>
    </row>
    <row r="68" spans="1:18">
      <c r="A68" s="5" t="s">
        <v>1652</v>
      </c>
      <c r="B68">
        <v>6.7432069228962624E-2</v>
      </c>
      <c r="C68">
        <v>16.867426184594283</v>
      </c>
      <c r="D68">
        <v>8.1154196641331904</v>
      </c>
      <c r="E68">
        <v>124.90474679383458</v>
      </c>
      <c r="F68">
        <v>7.386011997531563</v>
      </c>
      <c r="G68" s="8">
        <v>145</v>
      </c>
      <c r="H68">
        <v>5.3080120807593834E-2</v>
      </c>
      <c r="I68">
        <v>21.682663651287072</v>
      </c>
      <c r="J68">
        <v>10.332644349087218</v>
      </c>
      <c r="K68">
        <v>266.00560710113172</v>
      </c>
      <c r="L68">
        <v>3.4431379641907753</v>
      </c>
      <c r="M68" s="8">
        <v>370</v>
      </c>
      <c r="N68">
        <f t="shared" si="4"/>
        <v>-225</v>
      </c>
      <c r="O68">
        <f t="shared" si="5"/>
        <v>-141.10086030729713</v>
      </c>
      <c r="P68">
        <f t="shared" si="6"/>
        <v>-53.044318067194915</v>
      </c>
    </row>
    <row r="69" spans="1:18">
      <c r="A69" s="5" t="s">
        <v>1653</v>
      </c>
      <c r="B69">
        <v>3.9568310919557516E-2</v>
      </c>
      <c r="C69">
        <v>27.927628947277459</v>
      </c>
      <c r="D69">
        <v>11.457150864088119</v>
      </c>
      <c r="E69">
        <v>127.38782591817785</v>
      </c>
      <c r="F69">
        <v>14.101961759309383</v>
      </c>
      <c r="G69" s="8">
        <v>425</v>
      </c>
      <c r="H69">
        <v>3.9658273112685029E-2</v>
      </c>
      <c r="I69">
        <v>29.030596367802914</v>
      </c>
      <c r="J69">
        <v>11.53998157502277</v>
      </c>
      <c r="K69">
        <v>530.47261307835936</v>
      </c>
      <c r="L69">
        <v>48.867425211165568</v>
      </c>
      <c r="M69" s="8">
        <v>378</v>
      </c>
      <c r="N69">
        <f t="shared" si="4"/>
        <v>47</v>
      </c>
      <c r="O69">
        <f t="shared" si="5"/>
        <v>-403.08478716018152</v>
      </c>
      <c r="P69">
        <f t="shared" si="6"/>
        <v>-75.98597500086953</v>
      </c>
      <c r="Q69" s="16">
        <v>11.13806819915771</v>
      </c>
      <c r="R69" s="16">
        <v>7.2487978935241699</v>
      </c>
    </row>
    <row r="70" spans="1:18">
      <c r="A70" s="5" t="s">
        <v>1654</v>
      </c>
      <c r="B70">
        <v>7.5221788080061622E-2</v>
      </c>
      <c r="C70">
        <v>14.409023247426438</v>
      </c>
      <c r="D70">
        <v>4.4518570972498903</v>
      </c>
      <c r="E70">
        <v>444.78826465659785</v>
      </c>
      <c r="F70">
        <v>12.929958962063804</v>
      </c>
      <c r="G70" s="8">
        <v>366</v>
      </c>
      <c r="H70">
        <v>0.10554416000622842</v>
      </c>
      <c r="I70">
        <v>9.8039325263969932</v>
      </c>
      <c r="J70">
        <v>2.0800419011222773</v>
      </c>
      <c r="K70">
        <v>813.52780486065205</v>
      </c>
      <c r="L70">
        <v>140.47738284670257</v>
      </c>
      <c r="M70" s="8">
        <v>362</v>
      </c>
      <c r="N70">
        <f t="shared" si="4"/>
        <v>4</v>
      </c>
      <c r="O70">
        <f t="shared" si="5"/>
        <v>-368.73954020405421</v>
      </c>
      <c r="P70">
        <f t="shared" si="6"/>
        <v>-45.325991072574965</v>
      </c>
      <c r="Q70" s="16">
        <v>11.561440467834471</v>
      </c>
      <c r="R70" s="16">
        <v>9.1376380920410156</v>
      </c>
    </row>
    <row r="71" spans="1:18">
      <c r="A71" s="5" t="s">
        <v>1655</v>
      </c>
      <c r="B71">
        <v>0.1803637248036519</v>
      </c>
      <c r="C71">
        <v>6.4064977603910078</v>
      </c>
      <c r="D71">
        <v>3.2610270803505133</v>
      </c>
      <c r="E71">
        <v>2771.7100529953991</v>
      </c>
      <c r="F71">
        <v>795.69367620210608</v>
      </c>
      <c r="G71" s="8">
        <v>424</v>
      </c>
      <c r="H71">
        <v>0.14531677489288089</v>
      </c>
      <c r="I71">
        <v>7.0293619131092706</v>
      </c>
      <c r="J71">
        <v>1.2201757741426278</v>
      </c>
      <c r="K71">
        <v>1954.0209366004863</v>
      </c>
      <c r="L71">
        <v>614.5304612926974</v>
      </c>
      <c r="M71" s="8">
        <v>453</v>
      </c>
      <c r="N71">
        <f t="shared" si="4"/>
        <v>-29</v>
      </c>
      <c r="O71">
        <f t="shared" si="5"/>
        <v>817.68911639491284</v>
      </c>
      <c r="P71">
        <f t="shared" si="6"/>
        <v>41.846486958194518</v>
      </c>
      <c r="Q71" s="16">
        <v>9.6432914733886719</v>
      </c>
      <c r="R71" s="16">
        <v>7.4126873016357422</v>
      </c>
    </row>
    <row r="72" spans="1:18">
      <c r="A72" s="5" t="s">
        <v>1656</v>
      </c>
      <c r="B72">
        <v>8.3524219353739174E-2</v>
      </c>
      <c r="C72">
        <v>12.125248695855211</v>
      </c>
      <c r="D72">
        <v>1.7131545219574356</v>
      </c>
      <c r="E72">
        <v>187.74705194242856</v>
      </c>
      <c r="F72">
        <v>13.904642324229838</v>
      </c>
      <c r="G72" s="8">
        <v>187</v>
      </c>
      <c r="H72">
        <v>0.14531677489288089</v>
      </c>
      <c r="I72">
        <v>7.0293619131092706</v>
      </c>
      <c r="J72">
        <v>1.2201757741426278</v>
      </c>
      <c r="K72">
        <v>1954.0209366004863</v>
      </c>
      <c r="L72">
        <v>614.5304612926974</v>
      </c>
      <c r="M72" s="8">
        <v>453</v>
      </c>
      <c r="N72">
        <f t="shared" si="4"/>
        <v>-266</v>
      </c>
      <c r="O72">
        <f t="shared" si="5"/>
        <v>-1766.2738846580578</v>
      </c>
      <c r="P72">
        <f t="shared" si="6"/>
        <v>-90.391758428696164</v>
      </c>
    </row>
    <row r="73" spans="1:18">
      <c r="A73" s="5" t="s">
        <v>1657</v>
      </c>
      <c r="B73">
        <v>9.6777079805040286E-2</v>
      </c>
      <c r="C73">
        <v>10.374405873747683</v>
      </c>
      <c r="D73">
        <v>0.78562666961151306</v>
      </c>
      <c r="E73">
        <v>1202.0815876972629</v>
      </c>
      <c r="F73">
        <v>304.05870403176459</v>
      </c>
      <c r="G73" s="8">
        <v>452</v>
      </c>
      <c r="H73">
        <v>0.14531677489288089</v>
      </c>
      <c r="I73">
        <v>7.0293619131092706</v>
      </c>
      <c r="J73">
        <v>1.2201757741426278</v>
      </c>
      <c r="K73">
        <v>1954.0209366004863</v>
      </c>
      <c r="L73">
        <v>614.5304612926974</v>
      </c>
      <c r="M73" s="8">
        <v>453</v>
      </c>
      <c r="N73">
        <f t="shared" si="4"/>
        <v>-1</v>
      </c>
      <c r="O73">
        <f t="shared" si="5"/>
        <v>-751.93934890322339</v>
      </c>
      <c r="P73">
        <f t="shared" si="6"/>
        <v>-38.481642382574059</v>
      </c>
      <c r="Q73" s="16">
        <v>9.5066804885864258</v>
      </c>
      <c r="R73" s="16">
        <v>7.4866490364074707</v>
      </c>
    </row>
    <row r="74" spans="1:18">
      <c r="A74" s="5" t="s">
        <v>1658</v>
      </c>
      <c r="B74">
        <v>1.9178336197202261</v>
      </c>
      <c r="C74">
        <v>0.58424537065922866</v>
      </c>
      <c r="D74">
        <v>0.2158406229964662</v>
      </c>
      <c r="E74">
        <v>339.42283486410724</v>
      </c>
      <c r="F74">
        <v>132.43574181101874</v>
      </c>
      <c r="G74" s="8">
        <v>328</v>
      </c>
      <c r="H74">
        <v>5.5240545289207219</v>
      </c>
      <c r="I74">
        <v>0.18988069244201489</v>
      </c>
      <c r="J74">
        <v>5.1661745421109087E-2</v>
      </c>
      <c r="K74">
        <v>2779.6580063548645</v>
      </c>
      <c r="L74">
        <v>360.96986519812287</v>
      </c>
      <c r="M74" s="8">
        <v>437</v>
      </c>
      <c r="N74">
        <f t="shared" si="4"/>
        <v>-109</v>
      </c>
      <c r="O74">
        <f t="shared" si="5"/>
        <v>-2440.2351714907572</v>
      </c>
      <c r="P74">
        <f t="shared" si="6"/>
        <v>-87.789043325181822</v>
      </c>
      <c r="Q74" s="16">
        <v>11.136067390441889</v>
      </c>
      <c r="R74" s="16">
        <v>8.9772462844848633</v>
      </c>
    </row>
    <row r="75" spans="1:18">
      <c r="A75" s="5" t="s">
        <v>1659</v>
      </c>
      <c r="B75">
        <v>3.199206010301902E-2</v>
      </c>
      <c r="C75">
        <v>32.767016951524546</v>
      </c>
      <c r="D75">
        <v>8.2164249378035432</v>
      </c>
      <c r="E75">
        <v>6442.250757032285</v>
      </c>
      <c r="F75">
        <v>57.141705247078022</v>
      </c>
      <c r="G75" s="8">
        <v>360</v>
      </c>
      <c r="H75">
        <v>4.7965221950047661E-2</v>
      </c>
      <c r="I75">
        <v>25.501846952638871</v>
      </c>
      <c r="J75">
        <v>14.273764740021036</v>
      </c>
      <c r="K75">
        <v>6447.513801513247</v>
      </c>
      <c r="L75">
        <v>45.823306768065336</v>
      </c>
      <c r="M75" s="8">
        <v>360</v>
      </c>
      <c r="N75">
        <f t="shared" si="4"/>
        <v>0</v>
      </c>
      <c r="O75">
        <f t="shared" si="5"/>
        <v>-5.2630444809619803</v>
      </c>
      <c r="P75">
        <f t="shared" si="6"/>
        <v>-8.1629053352731573E-2</v>
      </c>
      <c r="Q75" s="16">
        <v>13.27191829681396</v>
      </c>
      <c r="R75" s="16">
        <v>11.81587600708008</v>
      </c>
    </row>
    <row r="76" spans="1:18">
      <c r="A76" s="5" t="s">
        <v>1660</v>
      </c>
      <c r="B76">
        <v>5.9562844011813297E-2</v>
      </c>
      <c r="C76">
        <v>16.896752124547032</v>
      </c>
      <c r="D76">
        <v>1.607216855291572</v>
      </c>
      <c r="E76">
        <v>126.601270978513</v>
      </c>
      <c r="F76">
        <v>28.712579701024033</v>
      </c>
      <c r="G76" s="8">
        <v>146</v>
      </c>
      <c r="H76">
        <v>4.6552411589573267E-2</v>
      </c>
      <c r="I76">
        <v>26.612328620196166</v>
      </c>
      <c r="J76">
        <v>15.613101042890069</v>
      </c>
      <c r="K76">
        <v>6515.408114460527</v>
      </c>
      <c r="L76">
        <v>60.50095681118141</v>
      </c>
      <c r="M76" s="8">
        <v>361</v>
      </c>
      <c r="N76">
        <f t="shared" si="4"/>
        <v>-215</v>
      </c>
      <c r="O76">
        <f t="shared" si="5"/>
        <v>-6388.8068434820143</v>
      </c>
      <c r="P76">
        <f t="shared" si="6"/>
        <v>-98.056894230500617</v>
      </c>
    </row>
    <row r="77" spans="1:18">
      <c r="A77" s="5" t="s">
        <v>1661</v>
      </c>
      <c r="B77">
        <v>0.10516231442216394</v>
      </c>
      <c r="C77">
        <v>9.661529358169874</v>
      </c>
      <c r="D77">
        <v>1.4314368055623243</v>
      </c>
      <c r="E77">
        <v>127.84029815429972</v>
      </c>
      <c r="F77">
        <v>13.628620227942466</v>
      </c>
      <c r="G77" s="8">
        <v>97</v>
      </c>
      <c r="H77">
        <v>4.6552411589573267E-2</v>
      </c>
      <c r="I77">
        <v>26.612328620196166</v>
      </c>
      <c r="J77">
        <v>15.613101042890069</v>
      </c>
      <c r="K77">
        <v>6515.408114460527</v>
      </c>
      <c r="L77">
        <v>60.50095681118141</v>
      </c>
      <c r="M77" s="8">
        <v>361</v>
      </c>
      <c r="N77">
        <f t="shared" si="4"/>
        <v>-264</v>
      </c>
      <c r="O77">
        <f t="shared" si="5"/>
        <v>-6387.5678163062275</v>
      </c>
      <c r="P77">
        <f t="shared" si="6"/>
        <v>-98.037877353061489</v>
      </c>
    </row>
    <row r="78" spans="1:18">
      <c r="A78" s="5" t="s">
        <v>1662</v>
      </c>
      <c r="B78">
        <v>5.3186407461868812E-2</v>
      </c>
      <c r="C78">
        <v>19.274580948641926</v>
      </c>
      <c r="D78">
        <v>3.5001807461965977</v>
      </c>
      <c r="E78">
        <v>133.34891485095645</v>
      </c>
      <c r="F78">
        <v>27.607261606055232</v>
      </c>
      <c r="G78" s="8">
        <v>134</v>
      </c>
      <c r="H78">
        <v>4.6552411589573267E-2</v>
      </c>
      <c r="I78">
        <v>26.612328620196166</v>
      </c>
      <c r="J78">
        <v>15.613101042890069</v>
      </c>
      <c r="K78">
        <v>6515.408114460527</v>
      </c>
      <c r="L78">
        <v>60.50095681118141</v>
      </c>
      <c r="M78" s="8">
        <v>361</v>
      </c>
      <c r="N78">
        <f t="shared" si="4"/>
        <v>-227</v>
      </c>
      <c r="O78">
        <f t="shared" si="5"/>
        <v>-6382.0591996095709</v>
      </c>
      <c r="P78">
        <f t="shared" si="6"/>
        <v>-97.953329822041439</v>
      </c>
    </row>
    <row r="79" spans="1:18">
      <c r="A79" s="5" t="s">
        <v>1663</v>
      </c>
      <c r="B79">
        <v>1.2077015623935023</v>
      </c>
      <c r="C79">
        <v>0.83937227702919237</v>
      </c>
      <c r="D79">
        <v>0.12088639913586322</v>
      </c>
      <c r="E79">
        <v>166.65457384734256</v>
      </c>
      <c r="F79">
        <v>60.751437702708074</v>
      </c>
      <c r="G79" s="8">
        <v>679</v>
      </c>
      <c r="H79">
        <v>3.247310548904371</v>
      </c>
      <c r="I79">
        <v>0.32351156096010619</v>
      </c>
      <c r="J79">
        <v>8.1966779595972969E-2</v>
      </c>
      <c r="K79">
        <v>377.52340749574824</v>
      </c>
      <c r="L79">
        <v>44.034151897960662</v>
      </c>
      <c r="M79" s="8">
        <v>705</v>
      </c>
      <c r="N79">
        <f t="shared" si="4"/>
        <v>-26</v>
      </c>
      <c r="O79">
        <f t="shared" si="5"/>
        <v>-210.86883364840568</v>
      </c>
      <c r="P79">
        <f t="shared" si="6"/>
        <v>-55.855830250944251</v>
      </c>
      <c r="Q79" s="16">
        <v>6.0385017395019531</v>
      </c>
      <c r="R79" s="16">
        <v>7.9976224899291992</v>
      </c>
    </row>
    <row r="80" spans="1:18">
      <c r="A80" s="5" t="s">
        <v>1664</v>
      </c>
      <c r="B80">
        <v>0.10329888249748176</v>
      </c>
      <c r="C80">
        <v>10.395432171616063</v>
      </c>
      <c r="D80">
        <v>3.1606645528064505</v>
      </c>
      <c r="E80">
        <v>143.95452555328492</v>
      </c>
      <c r="F80">
        <v>18.438128627184408</v>
      </c>
      <c r="G80" s="8">
        <v>854</v>
      </c>
      <c r="H80">
        <v>6.8049409748095216E-2</v>
      </c>
      <c r="I80">
        <v>14.716606893186205</v>
      </c>
      <c r="J80">
        <v>0.69667435942784917</v>
      </c>
      <c r="K80">
        <v>130.28906078860777</v>
      </c>
      <c r="L80">
        <v>3.2217305568082675</v>
      </c>
      <c r="M80" s="8">
        <v>971</v>
      </c>
      <c r="N80">
        <f t="shared" si="4"/>
        <v>-117</v>
      </c>
      <c r="O80">
        <f t="shared" si="5"/>
        <v>13.665464764677154</v>
      </c>
      <c r="P80">
        <f t="shared" si="6"/>
        <v>10.488574161148636</v>
      </c>
      <c r="Q80" s="16">
        <v>6.0840754508972168</v>
      </c>
      <c r="R80" s="16">
        <v>8.1928520202636719</v>
      </c>
    </row>
    <row r="81" spans="1:18">
      <c r="A81" s="5" t="s">
        <v>1665</v>
      </c>
      <c r="B81">
        <v>4.1816711219016756E-2</v>
      </c>
      <c r="C81">
        <v>24.852207060944494</v>
      </c>
      <c r="D81">
        <v>6.2925807295698695</v>
      </c>
      <c r="E81">
        <v>137.44470819357485</v>
      </c>
      <c r="F81">
        <v>28.82883161450324</v>
      </c>
      <c r="G81" s="8">
        <v>909</v>
      </c>
      <c r="H81">
        <v>6.8049409748095216E-2</v>
      </c>
      <c r="I81">
        <v>14.716606893186205</v>
      </c>
      <c r="J81">
        <v>0.69667435942784917</v>
      </c>
      <c r="K81">
        <v>130.28906078860777</v>
      </c>
      <c r="L81">
        <v>3.2217305568082675</v>
      </c>
      <c r="M81" s="8">
        <v>971</v>
      </c>
      <c r="N81">
        <f t="shared" si="4"/>
        <v>-62</v>
      </c>
      <c r="O81">
        <f t="shared" si="5"/>
        <v>7.155647404967084</v>
      </c>
      <c r="P81">
        <f t="shared" si="6"/>
        <v>5.492132157263014</v>
      </c>
      <c r="Q81" s="16">
        <v>5.7684626579284668</v>
      </c>
      <c r="R81" s="16">
        <v>7.8622622489929199</v>
      </c>
    </row>
    <row r="82" spans="1:18">
      <c r="A82" s="5" t="s">
        <v>1666</v>
      </c>
      <c r="B82">
        <v>3.2746051185851034E-2</v>
      </c>
      <c r="C82">
        <v>32.381944712222982</v>
      </c>
      <c r="D82">
        <v>10.295872388388592</v>
      </c>
      <c r="E82">
        <v>122.616367456874</v>
      </c>
      <c r="F82">
        <v>14.871591827049182</v>
      </c>
      <c r="G82" s="8">
        <v>533</v>
      </c>
      <c r="H82">
        <v>5.758767626292214E-2</v>
      </c>
      <c r="I82">
        <v>18.576756110733342</v>
      </c>
      <c r="J82">
        <v>5.6264821158117968</v>
      </c>
      <c r="K82">
        <v>1467.4997550448149</v>
      </c>
      <c r="L82">
        <v>316.53446013662943</v>
      </c>
      <c r="M82" s="8">
        <v>487</v>
      </c>
      <c r="N82">
        <f t="shared" si="4"/>
        <v>46</v>
      </c>
      <c r="O82">
        <f t="shared" si="5"/>
        <v>-1344.8833875879409</v>
      </c>
      <c r="P82">
        <f t="shared" si="6"/>
        <v>-91.64453915338953</v>
      </c>
      <c r="Q82" s="16">
        <v>10.28297328948975</v>
      </c>
      <c r="R82" s="16">
        <v>8.5383186340332031</v>
      </c>
    </row>
    <row r="83" spans="1:18">
      <c r="A83" s="5" t="s">
        <v>1667</v>
      </c>
      <c r="B83">
        <v>5.1462866794240947E-2</v>
      </c>
      <c r="C83">
        <v>26.414740674252574</v>
      </c>
      <c r="D83">
        <v>17.366063956045974</v>
      </c>
      <c r="E83">
        <v>198.127122880401</v>
      </c>
      <c r="F83">
        <v>28.344517461044841</v>
      </c>
      <c r="G83" s="8">
        <v>299</v>
      </c>
      <c r="H83">
        <v>0.44382684843365589</v>
      </c>
      <c r="I83">
        <v>2.3334936919430329</v>
      </c>
      <c r="J83">
        <v>0.4967788186092415</v>
      </c>
      <c r="K83">
        <v>1475.4668565394061</v>
      </c>
      <c r="L83">
        <v>517.99164296789934</v>
      </c>
      <c r="M83" s="8">
        <v>376</v>
      </c>
      <c r="N83">
        <f t="shared" si="4"/>
        <v>-77</v>
      </c>
      <c r="O83">
        <f t="shared" si="5"/>
        <v>-1277.3397336590051</v>
      </c>
      <c r="P83">
        <f t="shared" si="6"/>
        <v>-86.571902852152647</v>
      </c>
      <c r="Q83" s="16">
        <v>11.7096061706543</v>
      </c>
      <c r="R83" s="16">
        <v>9.8986883163452148</v>
      </c>
    </row>
    <row r="84" spans="1:18">
      <c r="A84" s="5" t="s">
        <v>1668</v>
      </c>
      <c r="B84">
        <v>4.9395868753008783E-2</v>
      </c>
      <c r="C84">
        <v>21.005944422075135</v>
      </c>
      <c r="D84">
        <v>5.1428500879964574</v>
      </c>
      <c r="E84">
        <v>133.74095908468064</v>
      </c>
      <c r="F84">
        <v>23.858088269337784</v>
      </c>
      <c r="G84" s="8">
        <v>429</v>
      </c>
      <c r="H84">
        <v>4.5762422951758829E-2</v>
      </c>
      <c r="I84">
        <v>23.461048211933274</v>
      </c>
      <c r="J84">
        <v>7.1320747916356266</v>
      </c>
      <c r="K84">
        <v>6434.9513713891802</v>
      </c>
      <c r="L84">
        <v>30.03533005951823</v>
      </c>
      <c r="M84" s="8">
        <v>476</v>
      </c>
      <c r="N84">
        <f t="shared" si="4"/>
        <v>-47</v>
      </c>
      <c r="O84">
        <f t="shared" si="5"/>
        <v>-6301.2104123044992</v>
      </c>
      <c r="P84">
        <f t="shared" si="6"/>
        <v>-97.921647711600201</v>
      </c>
      <c r="Q84" s="16">
        <v>9.5285835266113281</v>
      </c>
      <c r="R84" s="16">
        <v>9.1222019195556641</v>
      </c>
    </row>
    <row r="85" spans="1:18">
      <c r="A85" s="5" t="s">
        <v>1669</v>
      </c>
      <c r="B85">
        <v>9.0283736165181483E-2</v>
      </c>
      <c r="C85">
        <v>11.812623184234591</v>
      </c>
      <c r="D85">
        <v>3.5663207994540098</v>
      </c>
      <c r="E85">
        <v>118.88545299121267</v>
      </c>
      <c r="F85">
        <v>22.584729923528691</v>
      </c>
      <c r="G85" s="8">
        <v>128</v>
      </c>
      <c r="H85">
        <v>7.5540812996660836E-2</v>
      </c>
      <c r="I85">
        <v>13.736586230664356</v>
      </c>
      <c r="J85">
        <v>3.3435315329086381</v>
      </c>
      <c r="K85">
        <v>121.20303094299409</v>
      </c>
      <c r="L85">
        <v>21.382451993670418</v>
      </c>
      <c r="M85" s="8">
        <v>563</v>
      </c>
      <c r="N85">
        <f t="shared" si="4"/>
        <v>-435</v>
      </c>
      <c r="O85">
        <f t="shared" si="5"/>
        <v>-2.3175779517814163</v>
      </c>
      <c r="P85">
        <f t="shared" si="6"/>
        <v>-1.9121452110149391</v>
      </c>
    </row>
    <row r="86" spans="1:18">
      <c r="A86" s="5" t="s">
        <v>1670</v>
      </c>
      <c r="B86">
        <v>9.7443293164966069E-2</v>
      </c>
      <c r="C86">
        <v>10.756645313488656</v>
      </c>
      <c r="D86">
        <v>2.6951803663773082</v>
      </c>
      <c r="E86">
        <v>140.79013463505851</v>
      </c>
      <c r="F86">
        <v>17.752256290501631</v>
      </c>
      <c r="G86" s="8">
        <v>259</v>
      </c>
      <c r="H86">
        <v>0.26295647520290272</v>
      </c>
      <c r="I86">
        <v>3.9855399009776469</v>
      </c>
      <c r="J86">
        <v>0.9882007727840364</v>
      </c>
      <c r="K86">
        <v>159.72094446505892</v>
      </c>
      <c r="L86">
        <v>34.261504276276469</v>
      </c>
      <c r="M86" s="8">
        <v>338</v>
      </c>
      <c r="N86">
        <f t="shared" si="4"/>
        <v>-79</v>
      </c>
      <c r="O86">
        <f t="shared" si="5"/>
        <v>-18.930809830000413</v>
      </c>
      <c r="P86">
        <f t="shared" si="6"/>
        <v>-11.852427928850483</v>
      </c>
      <c r="Q86" s="16">
        <v>13.28509521484375</v>
      </c>
      <c r="R86" s="16">
        <v>10.401254653930661</v>
      </c>
    </row>
    <row r="87" spans="1:18">
      <c r="A87" s="5" t="s">
        <v>1671</v>
      </c>
      <c r="B87">
        <v>0.48393250665586157</v>
      </c>
      <c r="C87">
        <v>2.1653269601178118</v>
      </c>
      <c r="D87">
        <v>0.5960725938643413</v>
      </c>
      <c r="E87">
        <v>2842.2474400002066</v>
      </c>
      <c r="F87">
        <v>724.79153173492034</v>
      </c>
      <c r="G87" s="8">
        <v>381</v>
      </c>
      <c r="H87">
        <v>0.66207055832573236</v>
      </c>
      <c r="I87">
        <v>2.383308299585674</v>
      </c>
      <c r="J87">
        <v>2.0957823437799248</v>
      </c>
      <c r="K87">
        <v>371.78176753824329</v>
      </c>
      <c r="L87">
        <v>74.375735265763367</v>
      </c>
      <c r="M87" s="8">
        <v>390</v>
      </c>
      <c r="N87">
        <f t="shared" si="4"/>
        <v>-9</v>
      </c>
      <c r="O87">
        <f t="shared" si="5"/>
        <v>2470.4656724619631</v>
      </c>
      <c r="P87">
        <f t="shared" si="6"/>
        <v>664.49349811320133</v>
      </c>
      <c r="Q87" s="16">
        <v>10.98968410491943</v>
      </c>
      <c r="R87" s="16">
        <v>7.0431380271911621</v>
      </c>
    </row>
    <row r="88" spans="1:18">
      <c r="A88" s="5" t="s">
        <v>1672</v>
      </c>
      <c r="B88">
        <v>19.320136900285259</v>
      </c>
      <c r="C88">
        <v>5.9844573552979785E-2</v>
      </c>
      <c r="D88">
        <v>3.0126528524668732E-2</v>
      </c>
      <c r="E88">
        <v>1128.1112267163514</v>
      </c>
      <c r="F88">
        <v>58.486194716388439</v>
      </c>
      <c r="G88" s="8">
        <v>114</v>
      </c>
      <c r="H88">
        <v>0.10429333821650429</v>
      </c>
      <c r="I88">
        <v>11.785026997293121</v>
      </c>
      <c r="J88">
        <v>6.2496665084318463</v>
      </c>
      <c r="K88">
        <v>6451.8251154361269</v>
      </c>
      <c r="L88">
        <v>34.96921480435995</v>
      </c>
      <c r="M88" s="8">
        <v>315</v>
      </c>
      <c r="N88">
        <f t="shared" si="4"/>
        <v>-201</v>
      </c>
      <c r="O88">
        <f t="shared" si="5"/>
        <v>-5323.7138887197752</v>
      </c>
      <c r="P88">
        <f t="shared" si="6"/>
        <v>-82.514851123020648</v>
      </c>
    </row>
    <row r="89" spans="1:18">
      <c r="A89" s="5" t="s">
        <v>1673</v>
      </c>
      <c r="B89">
        <v>6.2481286416528614E-2</v>
      </c>
      <c r="C89">
        <v>17.197007131801062</v>
      </c>
      <c r="D89">
        <v>5.1078066657691226</v>
      </c>
      <c r="E89">
        <v>125.29523723990279</v>
      </c>
      <c r="F89">
        <v>31.536467688655044</v>
      </c>
      <c r="G89" s="8">
        <v>277</v>
      </c>
      <c r="H89">
        <v>5.2489684050982144E-2</v>
      </c>
      <c r="I89">
        <v>23.082500589963811</v>
      </c>
      <c r="J89">
        <v>10.726670502669204</v>
      </c>
      <c r="K89">
        <v>126.65627508754595</v>
      </c>
      <c r="L89">
        <v>17.69493397932656</v>
      </c>
      <c r="M89" s="8">
        <v>414</v>
      </c>
      <c r="N89">
        <f t="shared" si="4"/>
        <v>-137</v>
      </c>
      <c r="O89">
        <f t="shared" si="5"/>
        <v>-1.3610378476431606</v>
      </c>
      <c r="P89">
        <f t="shared" si="6"/>
        <v>-1.0745917221254131</v>
      </c>
    </row>
    <row r="90" spans="1:18">
      <c r="A90" s="5" t="s">
        <v>1674</v>
      </c>
      <c r="B90">
        <v>0.17155905961301365</v>
      </c>
      <c r="C90">
        <v>8.2528761947031484</v>
      </c>
      <c r="D90">
        <v>5.4221749673286848</v>
      </c>
      <c r="E90">
        <v>139.71930722862544</v>
      </c>
      <c r="F90">
        <v>27.528014786191793</v>
      </c>
      <c r="G90" s="8">
        <v>48</v>
      </c>
      <c r="H90">
        <v>9.0915347887470396E-2</v>
      </c>
      <c r="I90">
        <v>11.491230716121388</v>
      </c>
      <c r="J90">
        <v>2.9702096111617853</v>
      </c>
      <c r="K90">
        <v>210.24527044095544</v>
      </c>
      <c r="L90">
        <v>15.846158462947946</v>
      </c>
      <c r="M90" s="8">
        <v>343</v>
      </c>
      <c r="N90">
        <f t="shared" si="4"/>
        <v>-295</v>
      </c>
      <c r="O90">
        <f t="shared" si="5"/>
        <v>-70.525963212329998</v>
      </c>
      <c r="P90">
        <f t="shared" si="6"/>
        <v>-33.544613424317795</v>
      </c>
    </row>
    <row r="91" spans="1:18">
      <c r="A91" s="5" t="s">
        <v>1675</v>
      </c>
      <c r="B91">
        <v>9.0292678566829973E-2</v>
      </c>
      <c r="C91">
        <v>11.782273330035991</v>
      </c>
      <c r="D91">
        <v>3.2771624125384373</v>
      </c>
      <c r="E91">
        <v>227.55332646842439</v>
      </c>
      <c r="F91">
        <v>22.725854033440239</v>
      </c>
      <c r="G91" s="8">
        <v>343</v>
      </c>
      <c r="H91">
        <v>9.0915347887470396E-2</v>
      </c>
      <c r="I91">
        <v>11.491230716121388</v>
      </c>
      <c r="J91">
        <v>2.9702096111617853</v>
      </c>
      <c r="K91">
        <v>210.24527044095544</v>
      </c>
      <c r="L91">
        <v>15.846158462947946</v>
      </c>
      <c r="M91" s="8">
        <v>343</v>
      </c>
      <c r="N91">
        <f t="shared" si="4"/>
        <v>0</v>
      </c>
      <c r="O91">
        <f t="shared" si="5"/>
        <v>17.30805602746895</v>
      </c>
      <c r="P91">
        <f t="shared" si="6"/>
        <v>8.2323164707430063</v>
      </c>
      <c r="Q91" s="16">
        <v>10.8724308013916</v>
      </c>
      <c r="R91" s="16">
        <v>9.9879674911499023</v>
      </c>
    </row>
    <row r="92" spans="1:18">
      <c r="A92" s="5" t="s">
        <v>1676</v>
      </c>
      <c r="B92">
        <v>8.7407631668531868E-2</v>
      </c>
      <c r="C92">
        <v>12.860367353354619</v>
      </c>
      <c r="D92">
        <v>5.1280243008913695</v>
      </c>
      <c r="E92">
        <v>146.54960447261084</v>
      </c>
      <c r="F92">
        <v>4.5220116549891936</v>
      </c>
      <c r="G92" s="8">
        <v>820</v>
      </c>
      <c r="H92">
        <v>9.5946112323398502E-2</v>
      </c>
      <c r="I92">
        <v>10.529936473341314</v>
      </c>
      <c r="J92">
        <v>1.3222451196896887</v>
      </c>
      <c r="K92">
        <v>352.07701204488848</v>
      </c>
      <c r="L92">
        <v>29.611917709719663</v>
      </c>
      <c r="M92" s="8">
        <v>824</v>
      </c>
      <c r="N92">
        <f t="shared" si="4"/>
        <v>-4</v>
      </c>
      <c r="O92">
        <f t="shared" si="5"/>
        <v>-205.52740757227764</v>
      </c>
      <c r="P92">
        <f t="shared" si="6"/>
        <v>-58.375696379198331</v>
      </c>
      <c r="Q92" s="16">
        <v>8.6351089477539063</v>
      </c>
      <c r="R92" s="16">
        <v>6.4400925636291504</v>
      </c>
    </row>
    <row r="93" spans="1:18">
      <c r="A93" s="5" t="s">
        <v>1677</v>
      </c>
      <c r="B93">
        <v>20.111472400499682</v>
      </c>
      <c r="C93">
        <v>5.9903069100525362E-2</v>
      </c>
      <c r="D93">
        <v>3.4705522384320758E-2</v>
      </c>
      <c r="E93">
        <v>1047.2175362474247</v>
      </c>
      <c r="F93">
        <v>44.054680282971916</v>
      </c>
      <c r="G93" s="8">
        <v>153</v>
      </c>
      <c r="H93">
        <v>20.074986194627552</v>
      </c>
      <c r="I93">
        <v>5.9473007526796372E-2</v>
      </c>
      <c r="J93">
        <v>3.3823362028111099E-2</v>
      </c>
      <c r="K93">
        <v>1103.2189710578314</v>
      </c>
      <c r="L93">
        <v>115.66736715044277</v>
      </c>
      <c r="M93" s="8">
        <v>348</v>
      </c>
      <c r="N93">
        <f t="shared" si="4"/>
        <v>-195</v>
      </c>
      <c r="O93">
        <f t="shared" si="5"/>
        <v>-56.001434810406636</v>
      </c>
      <c r="P93">
        <f t="shared" si="6"/>
        <v>-5.0761848988790641</v>
      </c>
    </row>
    <row r="94" spans="1:18">
      <c r="A94" s="5" t="s">
        <v>1678</v>
      </c>
      <c r="B94">
        <v>20.692723272172728</v>
      </c>
      <c r="C94">
        <v>5.8353953972261091E-2</v>
      </c>
      <c r="D94">
        <v>3.4185201434790369E-2</v>
      </c>
      <c r="E94">
        <v>900.23605129706391</v>
      </c>
      <c r="F94">
        <v>226.3217140297439</v>
      </c>
      <c r="G94" s="8">
        <v>98</v>
      </c>
      <c r="H94">
        <v>20.074986194627552</v>
      </c>
      <c r="I94">
        <v>5.9473007526796372E-2</v>
      </c>
      <c r="J94">
        <v>3.3823362028111099E-2</v>
      </c>
      <c r="K94">
        <v>1103.2189710578314</v>
      </c>
      <c r="L94">
        <v>115.66736715044277</v>
      </c>
      <c r="M94" s="8">
        <v>348</v>
      </c>
      <c r="N94">
        <f t="shared" si="4"/>
        <v>-250</v>
      </c>
      <c r="O94">
        <f t="shared" si="5"/>
        <v>-202.98291976076746</v>
      </c>
      <c r="P94">
        <f t="shared" si="6"/>
        <v>-18.399150584415302</v>
      </c>
    </row>
    <row r="95" spans="1:18">
      <c r="A95" s="5" t="s">
        <v>1679</v>
      </c>
      <c r="B95">
        <v>19.089751431516763</v>
      </c>
      <c r="C95">
        <v>6.3405296956072846E-2</v>
      </c>
      <c r="D95">
        <v>3.7443331932162274E-2</v>
      </c>
      <c r="E95">
        <v>920.4144170680579</v>
      </c>
      <c r="F95">
        <v>69.548813731561182</v>
      </c>
      <c r="G95" s="8">
        <v>173</v>
      </c>
      <c r="H95">
        <v>20.074986194627552</v>
      </c>
      <c r="I95">
        <v>5.9473007526796372E-2</v>
      </c>
      <c r="J95">
        <v>3.3823362028111099E-2</v>
      </c>
      <c r="K95">
        <v>1103.2189710578314</v>
      </c>
      <c r="L95">
        <v>115.66736715044277</v>
      </c>
      <c r="M95" s="8">
        <v>348</v>
      </c>
      <c r="N95">
        <f t="shared" si="4"/>
        <v>-175</v>
      </c>
      <c r="O95">
        <f t="shared" si="5"/>
        <v>-182.80455398977347</v>
      </c>
      <c r="P95">
        <f t="shared" si="6"/>
        <v>-16.570106097295419</v>
      </c>
    </row>
    <row r="96" spans="1:18">
      <c r="A96" s="5" t="s">
        <v>1680</v>
      </c>
      <c r="B96">
        <v>20.57391889483705</v>
      </c>
      <c r="C96">
        <v>5.8596496657033835E-2</v>
      </c>
      <c r="D96">
        <v>3.4149617955955114E-2</v>
      </c>
      <c r="E96">
        <v>851.46644005095857</v>
      </c>
      <c r="F96">
        <v>279.62862764936892</v>
      </c>
      <c r="G96" s="8">
        <v>43</v>
      </c>
      <c r="H96">
        <v>20.074986194627552</v>
      </c>
      <c r="I96">
        <v>5.9473007526796372E-2</v>
      </c>
      <c r="J96">
        <v>3.3823362028111099E-2</v>
      </c>
      <c r="K96">
        <v>1103.2189710578314</v>
      </c>
      <c r="L96">
        <v>115.66736715044277</v>
      </c>
      <c r="M96" s="8">
        <v>348</v>
      </c>
      <c r="N96">
        <f t="shared" si="4"/>
        <v>-305</v>
      </c>
      <c r="O96">
        <f t="shared" si="5"/>
        <v>-251.7525310068728</v>
      </c>
      <c r="P96">
        <f t="shared" si="6"/>
        <v>-22.819815250772713</v>
      </c>
    </row>
    <row r="97" spans="1:18">
      <c r="A97" s="5" t="s">
        <v>1681</v>
      </c>
      <c r="B97">
        <v>0.31235385729114645</v>
      </c>
      <c r="C97">
        <v>3.447077090402805</v>
      </c>
      <c r="D97">
        <v>1.0424582225889645</v>
      </c>
      <c r="E97">
        <v>273.93701441748379</v>
      </c>
      <c r="F97">
        <v>64.082369007336297</v>
      </c>
      <c r="G97" s="8">
        <v>407</v>
      </c>
      <c r="H97">
        <v>0.2968913157830535</v>
      </c>
      <c r="I97">
        <v>3.4259014581344438</v>
      </c>
      <c r="J97">
        <v>0.55509153922439736</v>
      </c>
      <c r="K97">
        <v>4533.9634903007145</v>
      </c>
      <c r="L97">
        <v>947.21419055357421</v>
      </c>
      <c r="M97" s="8">
        <v>539</v>
      </c>
      <c r="N97">
        <f t="shared" si="4"/>
        <v>-132</v>
      </c>
      <c r="O97">
        <f t="shared" si="5"/>
        <v>-4260.0264758832309</v>
      </c>
      <c r="P97">
        <f t="shared" si="6"/>
        <v>-93.958111594777876</v>
      </c>
      <c r="Q97" s="16">
        <v>8.6874608993530273</v>
      </c>
      <c r="R97" s="16">
        <v>6.7409152984619141</v>
      </c>
    </row>
    <row r="98" spans="1:18">
      <c r="A98" s="5" t="s">
        <v>1682</v>
      </c>
      <c r="B98">
        <v>0.30711785820170068</v>
      </c>
      <c r="C98">
        <v>3.9490617878753156</v>
      </c>
      <c r="D98">
        <v>2.2605497376065915</v>
      </c>
      <c r="E98">
        <v>647.12679541874093</v>
      </c>
      <c r="F98">
        <v>76.804558305054428</v>
      </c>
      <c r="G98" s="8">
        <v>559</v>
      </c>
      <c r="H98">
        <v>0.2968913157830535</v>
      </c>
      <c r="I98">
        <v>3.4259014581344438</v>
      </c>
      <c r="J98">
        <v>0.55509153922439736</v>
      </c>
      <c r="K98">
        <v>4533.9634903007145</v>
      </c>
      <c r="L98">
        <v>947.21419055357421</v>
      </c>
      <c r="M98" s="8">
        <v>539</v>
      </c>
      <c r="N98">
        <f t="shared" ref="N98:N129" si="7">G98-M98</f>
        <v>20</v>
      </c>
      <c r="O98">
        <f t="shared" si="5"/>
        <v>-3886.8366948819735</v>
      </c>
      <c r="P98">
        <f t="shared" si="6"/>
        <v>-85.727128222291427</v>
      </c>
      <c r="Q98" s="16">
        <v>8.7181997299194336</v>
      </c>
      <c r="R98" s="16">
        <v>6.6606559753417969</v>
      </c>
    </row>
    <row r="99" spans="1:18">
      <c r="A99" s="5" t="s">
        <v>1683</v>
      </c>
      <c r="B99">
        <v>7.1784148146838686E-2</v>
      </c>
      <c r="C99">
        <v>14.106141122499837</v>
      </c>
      <c r="D99">
        <v>1.8853778840419368</v>
      </c>
      <c r="E99">
        <v>118.54605267035392</v>
      </c>
      <c r="F99">
        <v>13.792921412457526</v>
      </c>
      <c r="G99" s="8">
        <v>461</v>
      </c>
      <c r="H99">
        <v>0.2968913157830535</v>
      </c>
      <c r="I99">
        <v>3.4259014581344438</v>
      </c>
      <c r="J99">
        <v>0.55509153922439736</v>
      </c>
      <c r="K99">
        <v>4533.9634903007145</v>
      </c>
      <c r="L99">
        <v>947.21419055357421</v>
      </c>
      <c r="M99" s="8">
        <v>539</v>
      </c>
      <c r="N99">
        <f t="shared" si="7"/>
        <v>-78</v>
      </c>
      <c r="O99">
        <f t="shared" si="5"/>
        <v>-4415.4174376303608</v>
      </c>
      <c r="P99">
        <f t="shared" si="6"/>
        <v>-97.385376990265726</v>
      </c>
      <c r="Q99" s="16">
        <v>8.6679515838623047</v>
      </c>
      <c r="R99" s="16">
        <v>6.5957951545715332</v>
      </c>
    </row>
    <row r="100" spans="1:18">
      <c r="A100" s="5" t="s">
        <v>1684</v>
      </c>
      <c r="B100">
        <v>5.1104137126660391E-2</v>
      </c>
      <c r="C100">
        <v>21.337906236488518</v>
      </c>
      <c r="D100">
        <v>7.4101954373788823</v>
      </c>
      <c r="E100">
        <v>127.94016066546475</v>
      </c>
      <c r="F100">
        <v>7.0789696266261668</v>
      </c>
      <c r="G100" s="8">
        <v>425</v>
      </c>
      <c r="H100">
        <v>0.2968913157830535</v>
      </c>
      <c r="I100">
        <v>3.4259014581344438</v>
      </c>
      <c r="J100">
        <v>0.55509153922439736</v>
      </c>
      <c r="K100">
        <v>4533.9634903007145</v>
      </c>
      <c r="L100">
        <v>947.21419055357421</v>
      </c>
      <c r="M100" s="8">
        <v>539</v>
      </c>
      <c r="N100">
        <f t="shared" si="7"/>
        <v>-114</v>
      </c>
      <c r="O100">
        <f t="shared" si="5"/>
        <v>-4406.0233296352499</v>
      </c>
      <c r="P100">
        <f t="shared" si="6"/>
        <v>-97.178182820855071</v>
      </c>
      <c r="Q100" s="16">
        <v>9.0887231826782227</v>
      </c>
      <c r="R100" s="16">
        <v>6.5024333000183114</v>
      </c>
    </row>
    <row r="101" spans="1:18">
      <c r="A101" s="5" t="s">
        <v>1685</v>
      </c>
      <c r="B101">
        <v>7.7870537617902844E-2</v>
      </c>
      <c r="C101">
        <v>14.623900307165002</v>
      </c>
      <c r="D101">
        <v>6.2106323674864061</v>
      </c>
      <c r="E101">
        <v>129.68184875117183</v>
      </c>
      <c r="F101">
        <v>23.935013651576465</v>
      </c>
      <c r="G101" s="8">
        <v>145</v>
      </c>
      <c r="H101">
        <v>5.4072826227460354E-2</v>
      </c>
      <c r="I101">
        <v>19.502738037177473</v>
      </c>
      <c r="J101">
        <v>5.023201840979028</v>
      </c>
      <c r="K101">
        <v>292.68255545304817</v>
      </c>
      <c r="L101">
        <v>22.239153375677713</v>
      </c>
      <c r="M101" s="8">
        <v>377</v>
      </c>
      <c r="N101">
        <f t="shared" si="7"/>
        <v>-232</v>
      </c>
      <c r="O101">
        <f t="shared" si="5"/>
        <v>-163.00070670187634</v>
      </c>
      <c r="P101">
        <f t="shared" si="6"/>
        <v>-55.69197878895271</v>
      </c>
    </row>
    <row r="102" spans="1:18">
      <c r="A102" s="5" t="s">
        <v>1686</v>
      </c>
      <c r="B102">
        <v>16.370468983978952</v>
      </c>
      <c r="C102">
        <v>7.1257469855542988E-2</v>
      </c>
      <c r="D102">
        <v>3.7039363862170042E-2</v>
      </c>
      <c r="E102">
        <v>915.31297403186943</v>
      </c>
      <c r="F102">
        <v>224.12771802177579</v>
      </c>
      <c r="G102" s="8">
        <v>28</v>
      </c>
      <c r="H102">
        <v>0.75295200921519745</v>
      </c>
      <c r="I102">
        <v>1.3338689878000209</v>
      </c>
      <c r="J102">
        <v>0.10518041988027128</v>
      </c>
      <c r="K102">
        <v>454.5196232807404</v>
      </c>
      <c r="L102">
        <v>48.693320095076771</v>
      </c>
      <c r="M102" s="8">
        <v>329</v>
      </c>
      <c r="N102">
        <f t="shared" si="7"/>
        <v>-301</v>
      </c>
      <c r="O102">
        <f t="shared" si="5"/>
        <v>460.79335075112903</v>
      </c>
      <c r="P102">
        <f t="shared" si="6"/>
        <v>101.38029848416765</v>
      </c>
    </row>
    <row r="103" spans="1:18">
      <c r="A103" s="5" t="s">
        <v>1687</v>
      </c>
      <c r="B103">
        <v>7.8934174193788911E-2</v>
      </c>
      <c r="C103">
        <v>14.119766446597202</v>
      </c>
      <c r="D103">
        <v>5.8931947569556362</v>
      </c>
      <c r="E103">
        <v>129.09064325082863</v>
      </c>
      <c r="F103">
        <v>17.208670126057207</v>
      </c>
      <c r="G103" s="8">
        <v>62</v>
      </c>
      <c r="H103">
        <v>5.7123184443118313E-2</v>
      </c>
      <c r="I103">
        <v>17.96469041277734</v>
      </c>
      <c r="J103">
        <v>3.580656732399782</v>
      </c>
      <c r="K103">
        <v>6404.1234288709447</v>
      </c>
      <c r="L103">
        <v>38.883523812022752</v>
      </c>
      <c r="M103" s="8">
        <v>383</v>
      </c>
      <c r="N103">
        <f t="shared" si="7"/>
        <v>-321</v>
      </c>
      <c r="O103">
        <f t="shared" si="5"/>
        <v>-6275.0327856201166</v>
      </c>
      <c r="P103">
        <f t="shared" si="6"/>
        <v>-97.98425741345234</v>
      </c>
    </row>
    <row r="104" spans="1:18">
      <c r="A104" s="5" t="s">
        <v>1688</v>
      </c>
      <c r="B104">
        <v>5.9876874198751338E-2</v>
      </c>
      <c r="C104">
        <v>20.745853000363464</v>
      </c>
      <c r="D104">
        <v>12.679834501669111</v>
      </c>
      <c r="E104">
        <v>134.27879047068538</v>
      </c>
      <c r="F104">
        <v>11.016678255859475</v>
      </c>
      <c r="G104" s="8">
        <v>524</v>
      </c>
      <c r="H104">
        <v>5.885856333711359E-2</v>
      </c>
      <c r="I104">
        <v>19.108780998944749</v>
      </c>
      <c r="J104">
        <v>7.196852471371689</v>
      </c>
      <c r="K104">
        <v>6400.706702937292</v>
      </c>
      <c r="L104">
        <v>99.999564897111156</v>
      </c>
      <c r="M104" s="8">
        <v>525</v>
      </c>
      <c r="N104">
        <f t="shared" si="7"/>
        <v>-1</v>
      </c>
      <c r="O104">
        <f t="shared" si="5"/>
        <v>-6266.4279124666064</v>
      </c>
      <c r="P104">
        <f t="shared" si="6"/>
        <v>-97.902125551088531</v>
      </c>
      <c r="Q104" s="16">
        <v>8.6190176010131836</v>
      </c>
      <c r="R104" s="16">
        <v>6.6759538650512704</v>
      </c>
    </row>
    <row r="105" spans="1:18">
      <c r="A105" s="5" t="s">
        <v>1689</v>
      </c>
      <c r="B105">
        <v>7.7141044249013135E-2</v>
      </c>
      <c r="C105">
        <v>16.065698096714176</v>
      </c>
      <c r="D105">
        <v>10.091637548677978</v>
      </c>
      <c r="E105">
        <v>123.7905235586437</v>
      </c>
      <c r="F105">
        <v>14.87336992576251</v>
      </c>
      <c r="G105" s="8">
        <v>480</v>
      </c>
      <c r="H105">
        <v>5.885856333711359E-2</v>
      </c>
      <c r="I105">
        <v>19.108780998944749</v>
      </c>
      <c r="J105">
        <v>7.196852471371689</v>
      </c>
      <c r="K105">
        <v>6400.706702937292</v>
      </c>
      <c r="L105">
        <v>99.999564897111156</v>
      </c>
      <c r="M105" s="8">
        <v>525</v>
      </c>
      <c r="N105">
        <f t="shared" si="7"/>
        <v>-45</v>
      </c>
      <c r="O105">
        <f t="shared" si="5"/>
        <v>-6276.9161793786479</v>
      </c>
      <c r="P105">
        <f t="shared" si="6"/>
        <v>-98.065986627666661</v>
      </c>
      <c r="Q105" s="16">
        <v>8.5803699493408203</v>
      </c>
      <c r="R105" s="16">
        <v>6.7484622001647949</v>
      </c>
    </row>
    <row r="106" spans="1:18">
      <c r="A106" s="5" t="s">
        <v>1690</v>
      </c>
      <c r="B106">
        <v>0.10500805336877052</v>
      </c>
      <c r="C106">
        <v>10.78302386662763</v>
      </c>
      <c r="D106">
        <v>4.6784143229385178</v>
      </c>
      <c r="E106">
        <v>207.68490472531425</v>
      </c>
      <c r="F106">
        <v>12.768038569758257</v>
      </c>
      <c r="G106" s="8">
        <v>387</v>
      </c>
      <c r="H106">
        <v>0.14537177963940717</v>
      </c>
      <c r="I106">
        <v>7.3855784442186119</v>
      </c>
      <c r="J106">
        <v>2.3462233522716778</v>
      </c>
      <c r="K106">
        <v>432.83425518176699</v>
      </c>
      <c r="L106">
        <v>42.84718186470171</v>
      </c>
      <c r="M106" s="8">
        <v>372</v>
      </c>
      <c r="N106">
        <f t="shared" si="7"/>
        <v>15</v>
      </c>
      <c r="O106">
        <f t="shared" si="5"/>
        <v>-225.14935045645274</v>
      </c>
      <c r="P106">
        <f t="shared" si="6"/>
        <v>-52.017451890886548</v>
      </c>
      <c r="Q106" s="16">
        <v>11.43039512634277</v>
      </c>
      <c r="R106" s="16">
        <v>11.960676193237299</v>
      </c>
    </row>
    <row r="107" spans="1:18">
      <c r="A107" s="5" t="s">
        <v>1691</v>
      </c>
      <c r="B107">
        <v>7.9096690553642782E-2</v>
      </c>
      <c r="C107">
        <v>12.674141294955367</v>
      </c>
      <c r="D107">
        <v>0.75963884873126608</v>
      </c>
      <c r="E107">
        <v>6365.0666187278794</v>
      </c>
      <c r="F107">
        <v>59.733950509505853</v>
      </c>
      <c r="G107" s="8">
        <v>348</v>
      </c>
      <c r="H107">
        <v>0.11254868099329933</v>
      </c>
      <c r="I107">
        <v>9.0986669883758413</v>
      </c>
      <c r="J107">
        <v>1.6325187880410057</v>
      </c>
      <c r="K107">
        <v>6386.1997220797566</v>
      </c>
      <c r="L107">
        <v>124.63495977251276</v>
      </c>
      <c r="M107" s="8">
        <v>375</v>
      </c>
      <c r="N107">
        <f t="shared" si="7"/>
        <v>-27</v>
      </c>
      <c r="O107">
        <f t="shared" si="5"/>
        <v>-21.133103351877253</v>
      </c>
      <c r="P107">
        <f t="shared" si="6"/>
        <v>-0.33091829682074142</v>
      </c>
      <c r="Q107" s="16">
        <v>9.5397586822509766</v>
      </c>
      <c r="R107" s="16">
        <v>10.04696083068848</v>
      </c>
    </row>
    <row r="108" spans="1:18">
      <c r="A108" s="5" t="s">
        <v>1692</v>
      </c>
      <c r="B108">
        <v>0.11381067853651761</v>
      </c>
      <c r="C108">
        <v>8.9139221765860963</v>
      </c>
      <c r="D108">
        <v>1.2566097531526683</v>
      </c>
      <c r="E108">
        <v>135.13503341888091</v>
      </c>
      <c r="F108">
        <v>12.116546255112986</v>
      </c>
      <c r="G108" s="8">
        <v>391</v>
      </c>
      <c r="H108">
        <v>0.10396151613158139</v>
      </c>
      <c r="I108">
        <v>9.8671005974809898</v>
      </c>
      <c r="J108">
        <v>1.9561019826493631</v>
      </c>
      <c r="K108">
        <v>490.27581320431233</v>
      </c>
      <c r="L108">
        <v>39.209010188446605</v>
      </c>
      <c r="M108" s="8">
        <v>433</v>
      </c>
      <c r="N108">
        <f t="shared" si="7"/>
        <v>-42</v>
      </c>
      <c r="O108">
        <f t="shared" si="5"/>
        <v>-355.14077978543139</v>
      </c>
      <c r="P108">
        <f t="shared" si="6"/>
        <v>-72.436936561142133</v>
      </c>
      <c r="Q108" s="16">
        <v>10.20101165771484</v>
      </c>
      <c r="R108" s="16">
        <v>8.3029956817626953</v>
      </c>
    </row>
    <row r="109" spans="1:18">
      <c r="A109" s="5" t="s">
        <v>1693</v>
      </c>
      <c r="B109">
        <v>17.857612261533717</v>
      </c>
      <c r="C109">
        <v>6.3546403901997631E-2</v>
      </c>
      <c r="D109">
        <v>3.0052824876342577E-2</v>
      </c>
      <c r="E109">
        <v>785.18090782929505</v>
      </c>
      <c r="F109">
        <v>186.7571473462564</v>
      </c>
      <c r="G109" s="8">
        <v>81</v>
      </c>
      <c r="H109">
        <v>3.2916607616756384</v>
      </c>
      <c r="I109">
        <v>0.32882852923873895</v>
      </c>
      <c r="J109">
        <v>0.10405766186205646</v>
      </c>
      <c r="K109">
        <v>651.76908434401048</v>
      </c>
      <c r="L109">
        <v>186.56397025046422</v>
      </c>
      <c r="M109" s="8">
        <v>380</v>
      </c>
      <c r="N109">
        <f t="shared" si="7"/>
        <v>-299</v>
      </c>
      <c r="O109">
        <f t="shared" si="5"/>
        <v>133.41182348528457</v>
      </c>
      <c r="P109">
        <f t="shared" si="6"/>
        <v>20.469185588874666</v>
      </c>
    </row>
    <row r="110" spans="1:18">
      <c r="A110" s="5" t="s">
        <v>1694</v>
      </c>
      <c r="B110">
        <v>11.478917139469138</v>
      </c>
      <c r="C110">
        <v>9.1769430863311865E-2</v>
      </c>
      <c r="D110">
        <v>2.3551114017639947E-2</v>
      </c>
      <c r="E110">
        <v>866.54064586658785</v>
      </c>
      <c r="F110">
        <v>262.924210260172</v>
      </c>
      <c r="G110" s="8">
        <v>131</v>
      </c>
      <c r="H110">
        <v>3.2916607616756384</v>
      </c>
      <c r="I110">
        <v>0.32882852923873895</v>
      </c>
      <c r="J110">
        <v>0.10405766186205646</v>
      </c>
      <c r="K110">
        <v>651.76908434401048</v>
      </c>
      <c r="L110">
        <v>186.56397025046422</v>
      </c>
      <c r="M110" s="8">
        <v>380</v>
      </c>
      <c r="N110">
        <f t="shared" si="7"/>
        <v>-249</v>
      </c>
      <c r="O110">
        <f t="shared" si="5"/>
        <v>214.77156152257737</v>
      </c>
      <c r="P110">
        <f t="shared" si="6"/>
        <v>32.952094028629737</v>
      </c>
    </row>
    <row r="111" spans="1:18">
      <c r="A111" s="5" t="s">
        <v>1695</v>
      </c>
      <c r="B111">
        <v>5.3972238958455099E-2</v>
      </c>
      <c r="C111">
        <v>21.197374600377369</v>
      </c>
      <c r="D111">
        <v>8.7520894915821827</v>
      </c>
      <c r="E111">
        <v>6397.3804879221761</v>
      </c>
      <c r="F111">
        <v>100.21858080574171</v>
      </c>
      <c r="G111" s="8">
        <v>283</v>
      </c>
      <c r="H111">
        <v>6.6139409782819639E-2</v>
      </c>
      <c r="I111">
        <v>15.649598036783393</v>
      </c>
      <c r="J111">
        <v>3.3052611215153442</v>
      </c>
      <c r="K111">
        <v>6446.6147585780855</v>
      </c>
      <c r="L111">
        <v>50.107967919703583</v>
      </c>
      <c r="M111" s="8">
        <v>367</v>
      </c>
      <c r="N111">
        <f t="shared" si="7"/>
        <v>-84</v>
      </c>
      <c r="O111">
        <f t="shared" si="5"/>
        <v>-49.234270655909313</v>
      </c>
      <c r="P111">
        <f t="shared" si="6"/>
        <v>-0.76372286075256035</v>
      </c>
      <c r="Q111" s="16">
        <v>12.12985420227051</v>
      </c>
      <c r="R111" s="16">
        <v>9.8348112106323242</v>
      </c>
    </row>
    <row r="112" spans="1:18">
      <c r="A112" s="5" t="s">
        <v>1696</v>
      </c>
      <c r="B112">
        <v>0.12132716637218265</v>
      </c>
      <c r="C112">
        <v>8.3188945198460189</v>
      </c>
      <c r="D112">
        <v>0.9967637552742793</v>
      </c>
      <c r="E112">
        <v>6260.2637952075484</v>
      </c>
      <c r="F112">
        <v>53.806578669820219</v>
      </c>
      <c r="G112" s="8">
        <v>414</v>
      </c>
      <c r="H112">
        <v>0.14966455043529017</v>
      </c>
      <c r="I112">
        <v>8.553904608248116</v>
      </c>
      <c r="J112">
        <v>5.7625739953899187</v>
      </c>
      <c r="K112">
        <v>6192.8076594056365</v>
      </c>
      <c r="L112">
        <v>84.492325045632185</v>
      </c>
      <c r="M112" s="8">
        <v>413</v>
      </c>
      <c r="N112">
        <f t="shared" si="7"/>
        <v>1</v>
      </c>
      <c r="O112">
        <f t="shared" si="5"/>
        <v>67.456135801911842</v>
      </c>
      <c r="P112">
        <f t="shared" si="6"/>
        <v>1.0892657985180512</v>
      </c>
      <c r="Q112" s="16">
        <v>11.373282432556151</v>
      </c>
      <c r="R112" s="16">
        <v>8.6997489929199219</v>
      </c>
    </row>
    <row r="113" spans="1:18">
      <c r="A113" s="5" t="s">
        <v>1697</v>
      </c>
      <c r="B113">
        <v>7.5256391635181344E-2</v>
      </c>
      <c r="C113">
        <v>14.162970285395422</v>
      </c>
      <c r="D113">
        <v>4.1752512942656876</v>
      </c>
      <c r="E113">
        <v>125.76437022883117</v>
      </c>
      <c r="F113">
        <v>21.926027851262681</v>
      </c>
      <c r="G113" s="8">
        <v>187</v>
      </c>
      <c r="H113">
        <v>0.14966455043529017</v>
      </c>
      <c r="I113">
        <v>8.553904608248116</v>
      </c>
      <c r="J113">
        <v>5.7625739953899187</v>
      </c>
      <c r="K113">
        <v>6192.8076594056365</v>
      </c>
      <c r="L113">
        <v>84.492325045632185</v>
      </c>
      <c r="M113" s="8">
        <v>413</v>
      </c>
      <c r="N113">
        <f t="shared" si="7"/>
        <v>-226</v>
      </c>
      <c r="O113">
        <f t="shared" si="5"/>
        <v>-6067.043289176805</v>
      </c>
      <c r="P113">
        <f t="shared" si="6"/>
        <v>-97.969186560512327</v>
      </c>
    </row>
    <row r="114" spans="1:18">
      <c r="A114" s="5" t="s">
        <v>1698</v>
      </c>
      <c r="B114">
        <v>0.13895080629765871</v>
      </c>
      <c r="C114">
        <v>7.8749369203621704</v>
      </c>
      <c r="D114">
        <v>2.5593667385478422</v>
      </c>
      <c r="E114">
        <v>273.89507184642667</v>
      </c>
      <c r="F114">
        <v>14.247018752999724</v>
      </c>
      <c r="G114" s="8">
        <v>96</v>
      </c>
      <c r="H114">
        <v>0.14966455043529017</v>
      </c>
      <c r="I114">
        <v>8.553904608248116</v>
      </c>
      <c r="J114">
        <v>5.7625739953899187</v>
      </c>
      <c r="K114">
        <v>6192.8076594056365</v>
      </c>
      <c r="L114">
        <v>84.492325045632185</v>
      </c>
      <c r="M114" s="8">
        <v>413</v>
      </c>
      <c r="N114">
        <f t="shared" si="7"/>
        <v>-317</v>
      </c>
      <c r="O114">
        <f t="shared" si="5"/>
        <v>-5918.9125875592099</v>
      </c>
      <c r="P114">
        <f t="shared" si="6"/>
        <v>-95.577206867866551</v>
      </c>
    </row>
    <row r="115" spans="1:18">
      <c r="A115" s="5" t="s">
        <v>1699</v>
      </c>
      <c r="B115">
        <v>5.9691146004216343E-2</v>
      </c>
      <c r="C115">
        <v>17.495838635785436</v>
      </c>
      <c r="D115">
        <v>4.2613140481728138</v>
      </c>
      <c r="E115">
        <v>5984.8007561261375</v>
      </c>
      <c r="F115">
        <v>59.440882759221388</v>
      </c>
      <c r="G115" s="8">
        <v>310</v>
      </c>
      <c r="H115">
        <v>6.0889086618145634E-2</v>
      </c>
      <c r="I115">
        <v>21.469480424493415</v>
      </c>
      <c r="J115">
        <v>12.739134041829447</v>
      </c>
      <c r="K115">
        <v>6410.4557787374106</v>
      </c>
      <c r="L115">
        <v>68.44491310309121</v>
      </c>
      <c r="M115" s="8">
        <v>355</v>
      </c>
      <c r="N115">
        <f t="shared" si="7"/>
        <v>-45</v>
      </c>
      <c r="O115">
        <f t="shared" si="5"/>
        <v>-425.65502261127313</v>
      </c>
      <c r="P115">
        <f t="shared" si="6"/>
        <v>-6.640011838520306</v>
      </c>
      <c r="Q115" s="16">
        <v>11.489101409912109</v>
      </c>
      <c r="R115" s="16">
        <v>8.7209072113037109</v>
      </c>
    </row>
    <row r="116" spans="1:18">
      <c r="A116" s="5" t="s">
        <v>1700</v>
      </c>
      <c r="B116">
        <v>7.221928449911956E-2</v>
      </c>
      <c r="C116">
        <v>18.776854056128027</v>
      </c>
      <c r="D116">
        <v>13.855172981567046</v>
      </c>
      <c r="E116">
        <v>135.51461178804763</v>
      </c>
      <c r="F116">
        <v>28.662247364317675</v>
      </c>
      <c r="G116" s="8">
        <v>604</v>
      </c>
      <c r="H116">
        <v>6.0135191541602163E-2</v>
      </c>
      <c r="I116">
        <v>25.061691704362648</v>
      </c>
      <c r="J116">
        <v>14.594365831212285</v>
      </c>
      <c r="K116">
        <v>6449.1386819178924</v>
      </c>
      <c r="L116">
        <v>91.266889202287643</v>
      </c>
      <c r="M116" s="8">
        <v>882</v>
      </c>
      <c r="N116">
        <f t="shared" si="7"/>
        <v>-278</v>
      </c>
      <c r="O116">
        <f t="shared" si="5"/>
        <v>-6313.6240701298448</v>
      </c>
      <c r="P116">
        <f t="shared" si="6"/>
        <v>-97.898717666469111</v>
      </c>
    </row>
    <row r="117" spans="1:18">
      <c r="A117" s="5" t="s">
        <v>1701</v>
      </c>
      <c r="B117">
        <v>0.11872007920117868</v>
      </c>
      <c r="C117">
        <v>9.7215109359033072</v>
      </c>
      <c r="D117">
        <v>4.0572975744228561</v>
      </c>
      <c r="E117">
        <v>6415.4835923727906</v>
      </c>
      <c r="F117">
        <v>67.160627692239487</v>
      </c>
      <c r="G117" s="8">
        <v>932</v>
      </c>
      <c r="H117">
        <v>9.6784867484940362E-2</v>
      </c>
      <c r="I117">
        <v>10.592450866521874</v>
      </c>
      <c r="J117">
        <v>1.9779538631360676</v>
      </c>
      <c r="K117">
        <v>6473.2394217264618</v>
      </c>
      <c r="L117">
        <v>94.765803571626321</v>
      </c>
      <c r="M117" s="8">
        <v>925</v>
      </c>
      <c r="N117">
        <f t="shared" si="7"/>
        <v>7</v>
      </c>
      <c r="O117">
        <f t="shared" si="5"/>
        <v>-57.755829353671288</v>
      </c>
      <c r="P117">
        <f t="shared" si="6"/>
        <v>-0.89222451991845786</v>
      </c>
      <c r="Q117" s="16">
        <v>5.7443604469299316</v>
      </c>
      <c r="R117" s="16">
        <v>7.9251399040222168</v>
      </c>
    </row>
    <row r="118" spans="1:18">
      <c r="A118" s="5" t="s">
        <v>1702</v>
      </c>
      <c r="B118">
        <v>0.18361554802869118</v>
      </c>
      <c r="C118">
        <v>5.8300167922165551</v>
      </c>
      <c r="D118">
        <v>1.9766748087105326</v>
      </c>
      <c r="E118">
        <v>168.16093049367362</v>
      </c>
      <c r="F118">
        <v>43.944959397072978</v>
      </c>
      <c r="G118" s="8">
        <v>918</v>
      </c>
      <c r="H118">
        <v>0.26826792658411341</v>
      </c>
      <c r="I118">
        <v>4.0239175199102801</v>
      </c>
      <c r="J118">
        <v>1.2352720496198302</v>
      </c>
      <c r="K118">
        <v>154.27807306975663</v>
      </c>
      <c r="L118">
        <v>38.038850650381669</v>
      </c>
      <c r="M118" s="8">
        <v>918</v>
      </c>
      <c r="N118">
        <f t="shared" si="7"/>
        <v>0</v>
      </c>
      <c r="O118">
        <f t="shared" si="5"/>
        <v>13.882857423916988</v>
      </c>
      <c r="P118">
        <f t="shared" si="6"/>
        <v>8.9985939982798921</v>
      </c>
      <c r="Q118" s="16">
        <v>5.6764683723449707</v>
      </c>
      <c r="R118" s="16">
        <v>7.9508528709411621</v>
      </c>
    </row>
    <row r="119" spans="1:18">
      <c r="A119" s="5" t="s">
        <v>1703</v>
      </c>
      <c r="B119">
        <v>0.12771353489921447</v>
      </c>
      <c r="C119">
        <v>8.1877880632956437</v>
      </c>
      <c r="D119">
        <v>2.0655019974103723</v>
      </c>
      <c r="E119">
        <v>6534.1584418903631</v>
      </c>
      <c r="F119">
        <v>57.832787162484024</v>
      </c>
      <c r="G119" s="8">
        <v>918</v>
      </c>
      <c r="H119">
        <v>0.11250887696581273</v>
      </c>
      <c r="I119">
        <v>9.5811669878934307</v>
      </c>
      <c r="J119">
        <v>3.1337254477166656</v>
      </c>
      <c r="K119">
        <v>6467.8260075261178</v>
      </c>
      <c r="L119">
        <v>79.822750098205006</v>
      </c>
      <c r="M119" s="8">
        <v>918</v>
      </c>
      <c r="N119">
        <f t="shared" si="7"/>
        <v>0</v>
      </c>
      <c r="O119">
        <f t="shared" si="5"/>
        <v>66.332434364245273</v>
      </c>
      <c r="P119">
        <f t="shared" si="6"/>
        <v>1.0255754296275017</v>
      </c>
    </row>
    <row r="120" spans="1:18">
      <c r="A120" s="5" t="s">
        <v>1704</v>
      </c>
      <c r="B120">
        <v>0.32739977258807901</v>
      </c>
      <c r="C120">
        <v>4.2901643646755474</v>
      </c>
      <c r="D120">
        <v>2.7594800726417414</v>
      </c>
      <c r="E120">
        <v>1181.3951788792365</v>
      </c>
      <c r="F120">
        <v>178.10217280002206</v>
      </c>
      <c r="G120" s="8">
        <v>407</v>
      </c>
      <c r="H120">
        <v>0.88942693082962199</v>
      </c>
      <c r="I120">
        <v>1.6936502207426383</v>
      </c>
      <c r="J120">
        <v>1.0546886245370739</v>
      </c>
      <c r="K120">
        <v>5366.9822594388961</v>
      </c>
      <c r="L120">
        <v>190.82539418799874</v>
      </c>
      <c r="M120" s="8">
        <v>373</v>
      </c>
      <c r="N120">
        <f t="shared" si="7"/>
        <v>34</v>
      </c>
      <c r="O120">
        <f t="shared" si="5"/>
        <v>-4185.5870805596596</v>
      </c>
      <c r="P120">
        <f t="shared" si="6"/>
        <v>-77.987719694777823</v>
      </c>
      <c r="Q120" s="16">
        <v>11.34886360168457</v>
      </c>
      <c r="R120" s="16">
        <v>8.7461338043212891</v>
      </c>
    </row>
    <row r="121" spans="1:18">
      <c r="A121" s="5" t="s">
        <v>1705</v>
      </c>
      <c r="B121">
        <v>5.4037753437945514E-2</v>
      </c>
      <c r="C121">
        <v>20.016686706267052</v>
      </c>
      <c r="D121">
        <v>6.1414186565734461</v>
      </c>
      <c r="E121">
        <v>363.60341521124286</v>
      </c>
      <c r="F121">
        <v>4.488400049563352</v>
      </c>
      <c r="G121" s="8">
        <v>383</v>
      </c>
      <c r="H121">
        <v>5.6778496135577415E-2</v>
      </c>
      <c r="I121">
        <v>19.181331832206784</v>
      </c>
      <c r="J121">
        <v>6.2623224312866999</v>
      </c>
      <c r="K121">
        <v>461.5071604452171</v>
      </c>
      <c r="L121">
        <v>28.579291898281369</v>
      </c>
      <c r="M121" s="8">
        <v>455</v>
      </c>
      <c r="N121">
        <f t="shared" si="7"/>
        <v>-72</v>
      </c>
      <c r="O121">
        <f t="shared" si="5"/>
        <v>-97.903745233974234</v>
      </c>
      <c r="P121">
        <f t="shared" si="6"/>
        <v>-21.213916841404203</v>
      </c>
      <c r="Q121" s="16">
        <v>11.656759262084959</v>
      </c>
      <c r="R121" s="16">
        <v>8.3807439804077148</v>
      </c>
    </row>
    <row r="122" spans="1:18">
      <c r="A122" s="5" t="s">
        <v>1706</v>
      </c>
      <c r="B122">
        <v>2.1230022564255759</v>
      </c>
      <c r="C122">
        <v>0.59074978776794662</v>
      </c>
      <c r="D122">
        <v>0.28796675697011004</v>
      </c>
      <c r="E122">
        <v>274.09536129329581</v>
      </c>
      <c r="F122">
        <v>136.19753844297051</v>
      </c>
      <c r="G122" s="8">
        <v>51</v>
      </c>
      <c r="H122">
        <v>0.61518171775388353</v>
      </c>
      <c r="I122">
        <v>2.0125069766786097</v>
      </c>
      <c r="J122">
        <v>0.92688342888400266</v>
      </c>
      <c r="K122">
        <v>5672.8143313108312</v>
      </c>
      <c r="L122">
        <v>436.76728336840449</v>
      </c>
      <c r="M122" s="8">
        <v>432</v>
      </c>
      <c r="N122">
        <f t="shared" si="7"/>
        <v>-381</v>
      </c>
      <c r="O122">
        <f t="shared" si="5"/>
        <v>-5398.718970017535</v>
      </c>
      <c r="P122">
        <f t="shared" si="6"/>
        <v>-95.168264898421938</v>
      </c>
    </row>
    <row r="123" spans="1:18">
      <c r="A123" s="5" t="s">
        <v>1707</v>
      </c>
      <c r="B123">
        <v>0.28821486823895243</v>
      </c>
      <c r="C123">
        <v>5.1839319631411493</v>
      </c>
      <c r="D123">
        <v>3.2832071081364256</v>
      </c>
      <c r="E123">
        <v>141.83987743588764</v>
      </c>
      <c r="F123">
        <v>19.49497351424862</v>
      </c>
      <c r="G123" s="8">
        <v>318</v>
      </c>
      <c r="H123">
        <v>0.48143780190760549</v>
      </c>
      <c r="I123">
        <v>2.5767158348121093</v>
      </c>
      <c r="J123">
        <v>1.5333644526103367</v>
      </c>
      <c r="K123">
        <v>1346.1209260842415</v>
      </c>
      <c r="L123">
        <v>337.1115208393407</v>
      </c>
      <c r="M123" s="8">
        <v>481</v>
      </c>
      <c r="N123">
        <f t="shared" si="7"/>
        <v>-163</v>
      </c>
      <c r="O123">
        <f t="shared" si="5"/>
        <v>-1204.2810486483538</v>
      </c>
      <c r="P123">
        <f t="shared" si="6"/>
        <v>-89.463065710709316</v>
      </c>
    </row>
    <row r="124" spans="1:18">
      <c r="A124" s="5" t="s">
        <v>1708</v>
      </c>
      <c r="B124">
        <v>0.45565926816782304</v>
      </c>
      <c r="C124">
        <v>2.9207608175820652</v>
      </c>
      <c r="D124">
        <v>2.0449121963626715</v>
      </c>
      <c r="E124">
        <v>5470.3372841706951</v>
      </c>
      <c r="F124">
        <v>380.61942963727091</v>
      </c>
      <c r="G124" s="8">
        <v>438</v>
      </c>
      <c r="H124">
        <v>0.10703599364808615</v>
      </c>
      <c r="I124">
        <v>10.941498923978719</v>
      </c>
      <c r="J124">
        <v>5.4731713091171859</v>
      </c>
      <c r="K124">
        <v>5932.7130178226216</v>
      </c>
      <c r="L124">
        <v>168.15447634587775</v>
      </c>
      <c r="M124" s="8">
        <v>398</v>
      </c>
      <c r="N124">
        <f t="shared" si="7"/>
        <v>40</v>
      </c>
      <c r="O124">
        <f t="shared" si="5"/>
        <v>-462.37573365192657</v>
      </c>
      <c r="P124">
        <f t="shared" si="6"/>
        <v>-7.7936642521371127</v>
      </c>
      <c r="Q124" s="16">
        <v>10.738204002380369</v>
      </c>
      <c r="R124" s="16">
        <v>7.3915982246398926</v>
      </c>
    </row>
    <row r="125" spans="1:18">
      <c r="A125" s="5" t="s">
        <v>1709</v>
      </c>
      <c r="B125">
        <v>0.17814753830318866</v>
      </c>
      <c r="C125">
        <v>5.6889943718538136</v>
      </c>
      <c r="D125">
        <v>0.77619537191262344</v>
      </c>
      <c r="E125">
        <v>5955.2653296739954</v>
      </c>
      <c r="F125">
        <v>121.88579227281245</v>
      </c>
      <c r="G125" s="8">
        <v>421</v>
      </c>
      <c r="H125">
        <v>0.10703599364808615</v>
      </c>
      <c r="I125">
        <v>10.941498923978719</v>
      </c>
      <c r="J125">
        <v>5.4731713091171859</v>
      </c>
      <c r="K125">
        <v>5932.7130178226216</v>
      </c>
      <c r="L125">
        <v>168.15447634587775</v>
      </c>
      <c r="M125" s="8">
        <v>398</v>
      </c>
      <c r="N125">
        <f t="shared" si="7"/>
        <v>23</v>
      </c>
      <c r="O125">
        <f t="shared" si="5"/>
        <v>22.552311851373815</v>
      </c>
      <c r="P125">
        <f t="shared" si="6"/>
        <v>0.38013488573648874</v>
      </c>
      <c r="Q125" s="16">
        <v>8.0290317535400391</v>
      </c>
      <c r="R125" s="16">
        <v>11.48822021484375</v>
      </c>
    </row>
    <row r="126" spans="1:18">
      <c r="A126" s="5" t="s">
        <v>1710</v>
      </c>
      <c r="B126">
        <v>0.96652060397546213</v>
      </c>
      <c r="C126">
        <v>1.8617316189678013</v>
      </c>
      <c r="D126">
        <v>1.3610230499249305</v>
      </c>
      <c r="E126">
        <v>645.71171238038926</v>
      </c>
      <c r="F126">
        <v>73.425721402149733</v>
      </c>
      <c r="G126" s="8">
        <v>455</v>
      </c>
      <c r="H126">
        <v>0.32058495201626064</v>
      </c>
      <c r="I126">
        <v>4.1553108387830626</v>
      </c>
      <c r="J126">
        <v>2.9105295233068826</v>
      </c>
      <c r="K126">
        <v>585.68027451125192</v>
      </c>
      <c r="L126">
        <v>96.070066160048611</v>
      </c>
      <c r="M126" s="8">
        <v>489</v>
      </c>
      <c r="N126">
        <f t="shared" si="7"/>
        <v>-34</v>
      </c>
      <c r="O126">
        <f t="shared" si="5"/>
        <v>60.031437869137335</v>
      </c>
      <c r="P126">
        <f t="shared" si="6"/>
        <v>10.249865068314509</v>
      </c>
      <c r="Q126" s="16">
        <v>9.4182300567626953</v>
      </c>
      <c r="R126" s="16">
        <v>6.9543509483337402</v>
      </c>
    </row>
    <row r="127" spans="1:18">
      <c r="A127" s="5" t="s">
        <v>1711</v>
      </c>
      <c r="B127">
        <v>1.0531486032767161</v>
      </c>
      <c r="C127">
        <v>1.3255313107982807</v>
      </c>
      <c r="D127">
        <v>0.71705762006044604</v>
      </c>
      <c r="E127">
        <v>805.7779735657449</v>
      </c>
      <c r="F127">
        <v>156.59904199768206</v>
      </c>
      <c r="G127" s="8">
        <v>442</v>
      </c>
      <c r="H127">
        <v>0.32058495201626064</v>
      </c>
      <c r="I127">
        <v>4.1553108387830626</v>
      </c>
      <c r="J127">
        <v>2.9105295233068826</v>
      </c>
      <c r="K127">
        <v>585.68027451125192</v>
      </c>
      <c r="L127">
        <v>96.070066160048611</v>
      </c>
      <c r="M127" s="8">
        <v>489</v>
      </c>
      <c r="N127">
        <f t="shared" si="7"/>
        <v>-47</v>
      </c>
      <c r="O127">
        <f t="shared" si="5"/>
        <v>220.09769905449298</v>
      </c>
      <c r="P127">
        <f t="shared" si="6"/>
        <v>37.579838118701147</v>
      </c>
      <c r="Q127" s="16">
        <v>8.9931468963623047</v>
      </c>
      <c r="R127" s="16">
        <v>6.9631185531616211</v>
      </c>
    </row>
    <row r="128" spans="1:18">
      <c r="A128" s="5" t="s">
        <v>1712</v>
      </c>
      <c r="B128">
        <v>8.6853380463375929E-2</v>
      </c>
      <c r="C128">
        <v>12.796055691977733</v>
      </c>
      <c r="D128">
        <v>5.2248243400451644</v>
      </c>
      <c r="E128">
        <v>458.20938820478028</v>
      </c>
      <c r="F128">
        <v>39.043604875691578</v>
      </c>
      <c r="G128" s="8">
        <v>106</v>
      </c>
      <c r="H128">
        <v>6.1126764369595112E-2</v>
      </c>
      <c r="I128">
        <v>17.235687831015181</v>
      </c>
      <c r="J128">
        <v>5.1541275582042543</v>
      </c>
      <c r="K128">
        <v>6448.5021500646408</v>
      </c>
      <c r="L128">
        <v>57.120601917058693</v>
      </c>
      <c r="M128" s="8">
        <v>408</v>
      </c>
      <c r="N128">
        <f t="shared" si="7"/>
        <v>-302</v>
      </c>
      <c r="O128">
        <f t="shared" si="5"/>
        <v>-5990.2927618598605</v>
      </c>
      <c r="P128">
        <f t="shared" si="6"/>
        <v>-92.894328364297948</v>
      </c>
    </row>
    <row r="129" spans="1:18">
      <c r="A129" s="5" t="s">
        <v>1713</v>
      </c>
      <c r="B129">
        <v>5.8804920413322109E-2</v>
      </c>
      <c r="C129">
        <v>17.399898738723397</v>
      </c>
      <c r="D129">
        <v>3.2009465503750154</v>
      </c>
      <c r="E129">
        <v>160.76104380433139</v>
      </c>
      <c r="F129">
        <v>22.272905891389499</v>
      </c>
      <c r="G129" s="8">
        <v>236</v>
      </c>
      <c r="H129">
        <v>6.1126764369595112E-2</v>
      </c>
      <c r="I129">
        <v>17.235687831015181</v>
      </c>
      <c r="J129">
        <v>5.1541275582042543</v>
      </c>
      <c r="K129">
        <v>6448.5021500646408</v>
      </c>
      <c r="L129">
        <v>57.120601917058693</v>
      </c>
      <c r="M129" s="8">
        <v>408</v>
      </c>
      <c r="N129">
        <f t="shared" si="7"/>
        <v>-172</v>
      </c>
      <c r="O129">
        <f t="shared" si="5"/>
        <v>-6287.7411062603096</v>
      </c>
      <c r="P129">
        <f t="shared" si="6"/>
        <v>-97.507001780208455</v>
      </c>
    </row>
    <row r="130" spans="1:18">
      <c r="A130" s="5" t="s">
        <v>1714</v>
      </c>
      <c r="B130">
        <v>0.7728803067487674</v>
      </c>
      <c r="C130">
        <v>1.3807800203087897</v>
      </c>
      <c r="D130">
        <v>0.44220804975799</v>
      </c>
      <c r="E130">
        <v>242.9126534872548</v>
      </c>
      <c r="F130">
        <v>20.988242787279241</v>
      </c>
      <c r="G130" s="8">
        <v>937</v>
      </c>
      <c r="H130">
        <v>0.11098323622744759</v>
      </c>
      <c r="I130">
        <v>9.012990549019877</v>
      </c>
      <c r="J130">
        <v>0.18928133450797671</v>
      </c>
      <c r="K130">
        <v>5445.5573720899456</v>
      </c>
      <c r="L130">
        <v>72.638730557219787</v>
      </c>
      <c r="M130" s="8">
        <v>961</v>
      </c>
      <c r="N130">
        <f t="shared" ref="N130:N161" si="8">G130-M130</f>
        <v>-24</v>
      </c>
      <c r="O130">
        <f t="shared" si="5"/>
        <v>-5202.6447186026908</v>
      </c>
      <c r="P130">
        <f t="shared" si="6"/>
        <v>-95.539250862873061</v>
      </c>
      <c r="Q130" s="16">
        <v>5.9872064590454102</v>
      </c>
      <c r="R130" s="16">
        <v>7.6793050765991211</v>
      </c>
    </row>
    <row r="131" spans="1:18">
      <c r="A131" s="5" t="s">
        <v>1715</v>
      </c>
      <c r="B131">
        <v>5.947198495480241</v>
      </c>
      <c r="C131">
        <v>0.17838882870167724</v>
      </c>
      <c r="D131">
        <v>5.0583247759785399E-2</v>
      </c>
      <c r="E131">
        <v>387.45059804574174</v>
      </c>
      <c r="F131">
        <v>71.306949589541929</v>
      </c>
      <c r="G131" s="8">
        <v>845</v>
      </c>
      <c r="H131">
        <v>0.88269473704569534</v>
      </c>
      <c r="I131">
        <v>1.1392611828297083</v>
      </c>
      <c r="J131">
        <v>0.10371377180125985</v>
      </c>
      <c r="K131">
        <v>282.57477735827308</v>
      </c>
      <c r="L131">
        <v>25.365350957346994</v>
      </c>
      <c r="M131" s="8">
        <v>917</v>
      </c>
      <c r="N131">
        <f t="shared" si="8"/>
        <v>-72</v>
      </c>
      <c r="O131">
        <f t="shared" ref="O131:O175" si="9">E131-K131</f>
        <v>104.87582068746866</v>
      </c>
      <c r="P131">
        <f t="shared" ref="P131:P175" si="10">O131/K131*100</f>
        <v>37.114360194469128</v>
      </c>
      <c r="Q131" s="16">
        <v>5.9181704521179199</v>
      </c>
      <c r="R131" s="16">
        <v>7.7561206817626953</v>
      </c>
    </row>
    <row r="132" spans="1:18">
      <c r="A132" s="5" t="s">
        <v>1716</v>
      </c>
      <c r="B132">
        <v>0.37418282911891437</v>
      </c>
      <c r="C132">
        <v>2.8615454718606963</v>
      </c>
      <c r="D132">
        <v>0.88123067031957603</v>
      </c>
      <c r="E132">
        <v>268.68448324074581</v>
      </c>
      <c r="F132">
        <v>29.986581949401582</v>
      </c>
      <c r="G132" s="8">
        <v>893</v>
      </c>
      <c r="H132">
        <v>0.88269473704569534</v>
      </c>
      <c r="I132">
        <v>1.1392611828297083</v>
      </c>
      <c r="J132">
        <v>0.10371377180125985</v>
      </c>
      <c r="K132">
        <v>282.57477735827308</v>
      </c>
      <c r="L132">
        <v>25.365350957346994</v>
      </c>
      <c r="M132" s="8">
        <v>917</v>
      </c>
      <c r="N132">
        <f t="shared" si="8"/>
        <v>-24</v>
      </c>
      <c r="O132">
        <f t="shared" si="9"/>
        <v>-13.890294117527276</v>
      </c>
      <c r="P132">
        <f t="shared" si="10"/>
        <v>-4.9156171146570324</v>
      </c>
      <c r="Q132" s="16">
        <v>6.1380867958068848</v>
      </c>
      <c r="R132" s="16">
        <v>7.9052519798278809</v>
      </c>
    </row>
    <row r="133" spans="1:18">
      <c r="A133" s="5" t="s">
        <v>1717</v>
      </c>
      <c r="B133">
        <v>0.4755690016708094</v>
      </c>
      <c r="C133">
        <v>2.2431204554214643</v>
      </c>
      <c r="D133">
        <v>0.75022394083742472</v>
      </c>
      <c r="E133">
        <v>3910.3868041374176</v>
      </c>
      <c r="F133">
        <v>119.64053874692893</v>
      </c>
      <c r="G133" s="8">
        <v>682</v>
      </c>
      <c r="H133">
        <v>1.0231917583911521</v>
      </c>
      <c r="I133">
        <v>1.0234722919487835</v>
      </c>
      <c r="J133">
        <v>0.28476121587685382</v>
      </c>
      <c r="K133">
        <v>5786.17618585734</v>
      </c>
      <c r="L133">
        <v>78.719376820569153</v>
      </c>
      <c r="M133" s="8">
        <v>709</v>
      </c>
      <c r="N133">
        <f t="shared" si="8"/>
        <v>-27</v>
      </c>
      <c r="O133">
        <f t="shared" si="9"/>
        <v>-1875.7893817199224</v>
      </c>
      <c r="P133">
        <f t="shared" si="10"/>
        <v>-32.418462927291351</v>
      </c>
      <c r="Q133" s="16">
        <v>6.0874767303466797</v>
      </c>
      <c r="R133" s="16">
        <v>8.1920976638793945</v>
      </c>
    </row>
    <row r="134" spans="1:18">
      <c r="A134" s="5" t="s">
        <v>1718</v>
      </c>
      <c r="B134">
        <v>0.18241946433835943</v>
      </c>
      <c r="C134">
        <v>5.7096722853476338</v>
      </c>
      <c r="D134">
        <v>1.3724833215045276</v>
      </c>
      <c r="E134">
        <v>129.87316257384455</v>
      </c>
      <c r="F134">
        <v>16.166017410071518</v>
      </c>
      <c r="G134" s="8">
        <v>192</v>
      </c>
      <c r="H134">
        <v>1.3759380963220496</v>
      </c>
      <c r="I134">
        <v>0.98193634560016063</v>
      </c>
      <c r="J134">
        <v>0.72369677488960027</v>
      </c>
      <c r="K134">
        <v>3483.2792197662188</v>
      </c>
      <c r="L134">
        <v>808.36585385700323</v>
      </c>
      <c r="M134" s="8">
        <v>374</v>
      </c>
      <c r="N134">
        <f t="shared" si="8"/>
        <v>-182</v>
      </c>
      <c r="O134">
        <f t="shared" si="9"/>
        <v>-3353.4060571923742</v>
      </c>
      <c r="P134">
        <f t="shared" si="10"/>
        <v>-96.271525927727339</v>
      </c>
    </row>
    <row r="135" spans="1:18">
      <c r="A135" s="5" t="s">
        <v>1719</v>
      </c>
      <c r="B135">
        <v>7.7833490303840444E-2</v>
      </c>
      <c r="C135">
        <v>15.04861092431689</v>
      </c>
      <c r="D135">
        <v>7.2818903894622169</v>
      </c>
      <c r="E135">
        <v>117.18784890263858</v>
      </c>
      <c r="F135">
        <v>13.171747947139732</v>
      </c>
      <c r="G135" s="8">
        <v>81</v>
      </c>
      <c r="H135">
        <v>0.60132427500404873</v>
      </c>
      <c r="I135">
        <v>2.0940443521763519</v>
      </c>
      <c r="J135">
        <v>1.1534245434024322</v>
      </c>
      <c r="K135">
        <v>786.05055286777042</v>
      </c>
      <c r="L135">
        <v>171.8190198300768</v>
      </c>
      <c r="M135" s="8">
        <v>358</v>
      </c>
      <c r="N135">
        <f t="shared" si="8"/>
        <v>-277</v>
      </c>
      <c r="O135">
        <f t="shared" si="9"/>
        <v>-668.8627039651318</v>
      </c>
      <c r="P135">
        <f t="shared" si="10"/>
        <v>-85.091563325653937</v>
      </c>
    </row>
    <row r="136" spans="1:18">
      <c r="A136" s="5" t="s">
        <v>1720</v>
      </c>
      <c r="B136">
        <v>7.0232432428971245E-2</v>
      </c>
      <c r="C136">
        <v>15.778501750498597</v>
      </c>
      <c r="D136">
        <v>5.4646953724906355</v>
      </c>
      <c r="E136">
        <v>117.98024508539646</v>
      </c>
      <c r="F136">
        <v>16.409518067363226</v>
      </c>
      <c r="G136" s="8">
        <v>87</v>
      </c>
      <c r="H136">
        <v>0.60132427500404873</v>
      </c>
      <c r="I136">
        <v>2.0940443521763519</v>
      </c>
      <c r="J136">
        <v>1.1534245434024322</v>
      </c>
      <c r="K136">
        <v>786.05055286777042</v>
      </c>
      <c r="L136">
        <v>171.8190198300768</v>
      </c>
      <c r="M136" s="8">
        <v>358</v>
      </c>
      <c r="N136">
        <f t="shared" si="8"/>
        <v>-271</v>
      </c>
      <c r="O136">
        <f t="shared" si="9"/>
        <v>-668.0703077823739</v>
      </c>
      <c r="P136">
        <f t="shared" si="10"/>
        <v>-84.9907560455284</v>
      </c>
    </row>
    <row r="137" spans="1:18">
      <c r="A137" s="5" t="s">
        <v>1721</v>
      </c>
      <c r="B137">
        <v>0.32963484173894814</v>
      </c>
      <c r="C137">
        <v>3.5691397591932947</v>
      </c>
      <c r="D137">
        <v>1.9323576887667195</v>
      </c>
      <c r="E137">
        <v>144.52162747899504</v>
      </c>
      <c r="F137">
        <v>43.687389308141626</v>
      </c>
      <c r="G137" s="8">
        <v>242</v>
      </c>
      <c r="H137">
        <v>2.9207646937850256</v>
      </c>
      <c r="I137">
        <v>0.41937133991065734</v>
      </c>
      <c r="J137">
        <v>0.25589341463594001</v>
      </c>
      <c r="K137">
        <v>4814.3306468121591</v>
      </c>
      <c r="L137">
        <v>818.16399320527762</v>
      </c>
      <c r="M137" s="8">
        <v>362</v>
      </c>
      <c r="N137">
        <f t="shared" si="8"/>
        <v>-120</v>
      </c>
      <c r="O137">
        <f t="shared" si="9"/>
        <v>-4669.8090193331636</v>
      </c>
      <c r="P137">
        <f t="shared" si="10"/>
        <v>-96.998095102281951</v>
      </c>
    </row>
    <row r="138" spans="1:18">
      <c r="A138" s="5" t="s">
        <v>1722</v>
      </c>
      <c r="B138">
        <v>8.1704428389114014E-2</v>
      </c>
      <c r="C138">
        <v>16.661245294851636</v>
      </c>
      <c r="D138">
        <v>9.889651965400077</v>
      </c>
      <c r="E138">
        <v>127.80036783667265</v>
      </c>
      <c r="F138">
        <v>21.639213721668025</v>
      </c>
      <c r="G138" s="8">
        <v>392</v>
      </c>
      <c r="H138">
        <v>0.42487262456264485</v>
      </c>
      <c r="I138">
        <v>2.8149450403819931</v>
      </c>
      <c r="J138">
        <v>1.3955984334875366</v>
      </c>
      <c r="K138">
        <v>298.57905214949102</v>
      </c>
      <c r="L138">
        <v>43.183819924602162</v>
      </c>
      <c r="M138" s="8">
        <v>327</v>
      </c>
      <c r="N138">
        <f t="shared" si="8"/>
        <v>65</v>
      </c>
      <c r="O138">
        <f t="shared" si="9"/>
        <v>-170.77868431281837</v>
      </c>
      <c r="P138">
        <f t="shared" si="10"/>
        <v>-57.197141957337919</v>
      </c>
      <c r="Q138" s="16">
        <v>11.290438652038571</v>
      </c>
      <c r="R138" s="16">
        <v>8.1225700378417969</v>
      </c>
    </row>
    <row r="139" spans="1:18">
      <c r="A139" s="5" t="s">
        <v>1723</v>
      </c>
      <c r="B139">
        <v>0.11877139042722179</v>
      </c>
      <c r="C139">
        <v>10.513922950447645</v>
      </c>
      <c r="D139">
        <v>4.9174653247645699</v>
      </c>
      <c r="E139">
        <v>108.50625604487847</v>
      </c>
      <c r="F139">
        <v>18.821464196221175</v>
      </c>
      <c r="G139" s="8">
        <v>133</v>
      </c>
      <c r="H139">
        <v>5.3979903472910075E-2</v>
      </c>
      <c r="I139">
        <v>19.502528326136026</v>
      </c>
      <c r="J139">
        <v>5.1332215771644121</v>
      </c>
      <c r="K139">
        <v>682.8276618917829</v>
      </c>
      <c r="L139">
        <v>198.34238426572796</v>
      </c>
      <c r="M139" s="8">
        <v>307</v>
      </c>
      <c r="N139">
        <f t="shared" si="8"/>
        <v>-174</v>
      </c>
      <c r="O139">
        <f t="shared" si="9"/>
        <v>-574.32140584690444</v>
      </c>
      <c r="P139">
        <f t="shared" si="10"/>
        <v>-84.109276454287098</v>
      </c>
    </row>
    <row r="140" spans="1:18">
      <c r="A140" s="5" t="s">
        <v>1724</v>
      </c>
      <c r="B140">
        <v>0.23164459109601521</v>
      </c>
      <c r="C140">
        <v>4.3851696361514545</v>
      </c>
      <c r="D140">
        <v>0.70002195090889496</v>
      </c>
      <c r="E140">
        <v>5221.455803430712</v>
      </c>
      <c r="F140">
        <v>342.5646272970543</v>
      </c>
      <c r="G140" s="8">
        <v>335</v>
      </c>
      <c r="H140">
        <v>0.36159103484967448</v>
      </c>
      <c r="I140">
        <v>3.392682042773504</v>
      </c>
      <c r="J140">
        <v>1.806092329859238</v>
      </c>
      <c r="K140">
        <v>5037.5207258832415</v>
      </c>
      <c r="L140">
        <v>327.41115272241319</v>
      </c>
      <c r="M140" s="8">
        <v>335</v>
      </c>
      <c r="N140">
        <f t="shared" si="8"/>
        <v>0</v>
      </c>
      <c r="O140">
        <f t="shared" si="9"/>
        <v>183.93507754747043</v>
      </c>
      <c r="P140">
        <f t="shared" si="10"/>
        <v>3.6513016532596123</v>
      </c>
      <c r="Q140" s="16">
        <v>12.19616603851318</v>
      </c>
      <c r="R140" s="16">
        <v>8.3733139038085938</v>
      </c>
    </row>
    <row r="141" spans="1:18">
      <c r="A141" s="5" t="s">
        <v>1725</v>
      </c>
      <c r="B141">
        <v>12.803601277599183</v>
      </c>
      <c r="C141">
        <v>9.1440669566076979E-2</v>
      </c>
      <c r="D141">
        <v>4.0888051327713476E-2</v>
      </c>
      <c r="E141">
        <v>930.66523038356081</v>
      </c>
      <c r="F141">
        <v>28.526924855049526</v>
      </c>
      <c r="G141" s="8">
        <v>430</v>
      </c>
      <c r="H141">
        <v>17.141393739818739</v>
      </c>
      <c r="I141">
        <v>6.5094505593290233E-2</v>
      </c>
      <c r="J141">
        <v>2.8232031999623333E-2</v>
      </c>
      <c r="K141">
        <v>821.6931800864744</v>
      </c>
      <c r="L141">
        <v>238.57755058244086</v>
      </c>
      <c r="M141" s="8">
        <v>430</v>
      </c>
      <c r="N141">
        <f t="shared" si="8"/>
        <v>0</v>
      </c>
      <c r="O141">
        <f t="shared" si="9"/>
        <v>108.97205029708641</v>
      </c>
      <c r="P141">
        <f t="shared" si="10"/>
        <v>13.261890561829691</v>
      </c>
      <c r="Q141" s="16">
        <v>9.3985462188720703</v>
      </c>
      <c r="R141" s="16">
        <v>6.9238185882568359</v>
      </c>
    </row>
    <row r="142" spans="1:18">
      <c r="A142" s="5" t="s">
        <v>1726</v>
      </c>
      <c r="B142">
        <v>13.272667585221967</v>
      </c>
      <c r="C142">
        <v>8.5170591475810686E-2</v>
      </c>
      <c r="D142">
        <v>3.6389420755831674E-2</v>
      </c>
      <c r="E142">
        <v>922.5867307822308</v>
      </c>
      <c r="F142">
        <v>146.21098740231437</v>
      </c>
      <c r="G142" s="8">
        <v>74</v>
      </c>
      <c r="H142">
        <v>18.675618849904073</v>
      </c>
      <c r="I142">
        <v>6.3524784104966883E-2</v>
      </c>
      <c r="J142">
        <v>3.3757282828010791E-2</v>
      </c>
      <c r="K142">
        <v>939.14079189316146</v>
      </c>
      <c r="L142">
        <v>111.53559185647204</v>
      </c>
      <c r="M142" s="8">
        <v>394</v>
      </c>
      <c r="N142">
        <f t="shared" si="8"/>
        <v>-320</v>
      </c>
      <c r="O142">
        <f t="shared" si="9"/>
        <v>-16.554061110930661</v>
      </c>
      <c r="P142">
        <f t="shared" si="10"/>
        <v>-1.7626815120617061</v>
      </c>
    </row>
    <row r="143" spans="1:18">
      <c r="A143" s="5" t="s">
        <v>1727</v>
      </c>
      <c r="B143">
        <v>17.301956736754942</v>
      </c>
      <c r="C143">
        <v>6.3301191085792199E-2</v>
      </c>
      <c r="D143">
        <v>2.5303550748268955E-2</v>
      </c>
      <c r="E143">
        <v>903.61293764971015</v>
      </c>
      <c r="F143">
        <v>205.28521212604926</v>
      </c>
      <c r="G143" s="8">
        <v>71</v>
      </c>
      <c r="H143">
        <v>18.675618849904073</v>
      </c>
      <c r="I143">
        <v>6.3524784104966883E-2</v>
      </c>
      <c r="J143">
        <v>3.3757282828010791E-2</v>
      </c>
      <c r="K143">
        <v>939.14079189316146</v>
      </c>
      <c r="L143">
        <v>111.53559185647204</v>
      </c>
      <c r="M143" s="8">
        <v>394</v>
      </c>
      <c r="N143">
        <f t="shared" si="8"/>
        <v>-323</v>
      </c>
      <c r="O143">
        <f t="shared" si="9"/>
        <v>-35.527854243451316</v>
      </c>
      <c r="P143">
        <f t="shared" si="10"/>
        <v>-3.7830168330600036</v>
      </c>
    </row>
    <row r="144" spans="1:18">
      <c r="A144" s="5" t="s">
        <v>1728</v>
      </c>
      <c r="B144">
        <v>1.5136412641013777</v>
      </c>
      <c r="C144">
        <v>0.71708755064315943</v>
      </c>
      <c r="D144">
        <v>0.23525440947742998</v>
      </c>
      <c r="E144">
        <v>232.44382841314493</v>
      </c>
      <c r="F144">
        <v>98.732166908064272</v>
      </c>
      <c r="G144" s="8">
        <v>151</v>
      </c>
      <c r="H144">
        <v>18.675618849904073</v>
      </c>
      <c r="I144">
        <v>6.3524784104966883E-2</v>
      </c>
      <c r="J144">
        <v>3.3757282828010791E-2</v>
      </c>
      <c r="K144">
        <v>939.14079189316146</v>
      </c>
      <c r="L144">
        <v>111.53559185647204</v>
      </c>
      <c r="M144" s="8">
        <v>394</v>
      </c>
      <c r="N144">
        <f t="shared" si="8"/>
        <v>-243</v>
      </c>
      <c r="O144">
        <f t="shared" si="9"/>
        <v>-706.69696348001651</v>
      </c>
      <c r="P144">
        <f t="shared" si="10"/>
        <v>-75.24930974997109</v>
      </c>
    </row>
    <row r="145" spans="1:18">
      <c r="A145" s="5" t="s">
        <v>1729</v>
      </c>
      <c r="B145">
        <v>20.446934633331534</v>
      </c>
      <c r="C145">
        <v>5.9053320614583051E-2</v>
      </c>
      <c r="D145">
        <v>3.4598834683987396E-2</v>
      </c>
      <c r="E145">
        <v>896.58683097250957</v>
      </c>
      <c r="F145">
        <v>96.828745571726373</v>
      </c>
      <c r="G145" s="8">
        <v>70</v>
      </c>
      <c r="H145">
        <v>18.675618849904073</v>
      </c>
      <c r="I145">
        <v>6.3524784104966883E-2</v>
      </c>
      <c r="J145">
        <v>3.3757282828010791E-2</v>
      </c>
      <c r="K145">
        <v>939.14079189316146</v>
      </c>
      <c r="L145">
        <v>111.53559185647204</v>
      </c>
      <c r="M145" s="8">
        <v>394</v>
      </c>
      <c r="N145">
        <f t="shared" si="8"/>
        <v>-324</v>
      </c>
      <c r="O145">
        <f t="shared" si="9"/>
        <v>-42.553960920651889</v>
      </c>
      <c r="P145">
        <f t="shared" si="10"/>
        <v>-4.5311588302824894</v>
      </c>
    </row>
    <row r="146" spans="1:18">
      <c r="A146" s="5" t="s">
        <v>1730</v>
      </c>
      <c r="B146">
        <v>6.9899163380592946E-2</v>
      </c>
      <c r="C146">
        <v>16.529968965800062</v>
      </c>
      <c r="D146">
        <v>6.557875455695874</v>
      </c>
      <c r="E146">
        <v>122.61522247806967</v>
      </c>
      <c r="F146">
        <v>22.058164547908028</v>
      </c>
      <c r="G146" s="8">
        <v>499</v>
      </c>
      <c r="H146">
        <v>0.10750344033545056</v>
      </c>
      <c r="I146">
        <v>10.055325265124601</v>
      </c>
      <c r="J146">
        <v>3.0765475299757057</v>
      </c>
      <c r="K146">
        <v>518.63554925074061</v>
      </c>
      <c r="L146">
        <v>35.681368554295382</v>
      </c>
      <c r="M146" s="8">
        <v>488</v>
      </c>
      <c r="N146">
        <f t="shared" si="8"/>
        <v>11</v>
      </c>
      <c r="O146">
        <f t="shared" si="9"/>
        <v>-396.02032677267096</v>
      </c>
      <c r="P146">
        <f t="shared" si="10"/>
        <v>-76.358114545906332</v>
      </c>
      <c r="Q146" s="16">
        <v>9.2586669921875</v>
      </c>
      <c r="R146" s="16">
        <v>6.7177400588989258</v>
      </c>
    </row>
    <row r="147" spans="1:18">
      <c r="A147" s="5" t="s">
        <v>1731</v>
      </c>
      <c r="B147">
        <v>6.0961902358038285E-2</v>
      </c>
      <c r="C147">
        <v>16.877132566455284</v>
      </c>
      <c r="D147">
        <v>3.6628431962838088</v>
      </c>
      <c r="E147">
        <v>6137.7585431684165</v>
      </c>
      <c r="F147">
        <v>75.247372866622413</v>
      </c>
      <c r="G147" s="8">
        <v>363</v>
      </c>
      <c r="H147">
        <v>7.5584480505996046E-2</v>
      </c>
      <c r="I147">
        <v>13.39114911263313</v>
      </c>
      <c r="J147">
        <v>1.7316526513572976</v>
      </c>
      <c r="K147">
        <v>6266.8937569962009</v>
      </c>
      <c r="L147">
        <v>74.347255282862506</v>
      </c>
      <c r="M147" s="8">
        <v>364</v>
      </c>
      <c r="N147">
        <f t="shared" si="8"/>
        <v>-1</v>
      </c>
      <c r="O147">
        <f t="shared" si="9"/>
        <v>-129.13521382778436</v>
      </c>
      <c r="P147">
        <f t="shared" si="10"/>
        <v>-2.0605936343443045</v>
      </c>
      <c r="Q147" s="16">
        <v>10.60139846801758</v>
      </c>
      <c r="R147" s="16">
        <v>10.767580032348629</v>
      </c>
    </row>
    <row r="148" spans="1:18">
      <c r="A148" s="5" t="s">
        <v>1732</v>
      </c>
      <c r="B148">
        <v>9.7338166479969249E-2</v>
      </c>
      <c r="C148">
        <v>12.848989239357463</v>
      </c>
      <c r="D148">
        <v>7.7903744295948885</v>
      </c>
      <c r="E148">
        <v>6290.8978919727733</v>
      </c>
      <c r="F148">
        <v>40.252956887457799</v>
      </c>
      <c r="G148" s="8">
        <v>392</v>
      </c>
      <c r="H148">
        <v>7.5584480505996046E-2</v>
      </c>
      <c r="I148">
        <v>13.39114911263313</v>
      </c>
      <c r="J148">
        <v>1.7316526513572976</v>
      </c>
      <c r="K148">
        <v>6266.8937569962009</v>
      </c>
      <c r="L148">
        <v>74.347255282862506</v>
      </c>
      <c r="M148" s="8">
        <v>364</v>
      </c>
      <c r="N148">
        <f t="shared" si="8"/>
        <v>28</v>
      </c>
      <c r="O148">
        <f t="shared" si="9"/>
        <v>24.004134976572459</v>
      </c>
      <c r="P148">
        <f t="shared" si="10"/>
        <v>0.38303082687136436</v>
      </c>
      <c r="Q148" s="16">
        <v>11.16049098968506</v>
      </c>
      <c r="R148" s="16">
        <v>7.0222659111022949</v>
      </c>
    </row>
    <row r="149" spans="1:18">
      <c r="A149" s="5" t="s">
        <v>1733</v>
      </c>
      <c r="B149">
        <v>0.11064800821732745</v>
      </c>
      <c r="C149">
        <v>9.2265515783382721</v>
      </c>
      <c r="D149">
        <v>1.6140448531474951</v>
      </c>
      <c r="E149">
        <v>123.12916675656568</v>
      </c>
      <c r="F149">
        <v>19.52466369110158</v>
      </c>
      <c r="G149" s="8">
        <v>301</v>
      </c>
      <c r="H149">
        <v>6.7370721107759546E-2</v>
      </c>
      <c r="I149">
        <v>15.784796655142358</v>
      </c>
      <c r="J149">
        <v>4.3402065170993556</v>
      </c>
      <c r="K149">
        <v>397.25664470167385</v>
      </c>
      <c r="L149">
        <v>11.175544830583808</v>
      </c>
      <c r="M149" s="8">
        <v>390</v>
      </c>
      <c r="N149">
        <f t="shared" si="8"/>
        <v>-89</v>
      </c>
      <c r="O149">
        <f t="shared" si="9"/>
        <v>-274.12747794510818</v>
      </c>
      <c r="P149">
        <f t="shared" si="10"/>
        <v>-69.00513348265541</v>
      </c>
    </row>
    <row r="150" spans="1:18">
      <c r="A150" s="5" t="s">
        <v>1734</v>
      </c>
      <c r="B150">
        <v>4.6169713453034822</v>
      </c>
      <c r="C150">
        <v>0.22821629867612467</v>
      </c>
      <c r="D150">
        <v>5.9681718022992984E-2</v>
      </c>
      <c r="E150">
        <v>565.13966736166219</v>
      </c>
      <c r="F150">
        <v>99.658630381000862</v>
      </c>
      <c r="G150" s="8">
        <v>456</v>
      </c>
      <c r="H150">
        <v>5.0281856143306305</v>
      </c>
      <c r="I150">
        <v>0.20498991572997374</v>
      </c>
      <c r="J150">
        <v>4.1064352484897933E-2</v>
      </c>
      <c r="K150">
        <v>948.89400757022941</v>
      </c>
      <c r="L150">
        <v>163.00346489010587</v>
      </c>
      <c r="M150" s="8">
        <v>410</v>
      </c>
      <c r="N150">
        <f t="shared" si="8"/>
        <v>46</v>
      </c>
      <c r="O150">
        <f t="shared" si="9"/>
        <v>-383.75434020856721</v>
      </c>
      <c r="P150">
        <f t="shared" si="10"/>
        <v>-40.442276708145911</v>
      </c>
      <c r="Q150" s="16">
        <v>8.1634950637817383</v>
      </c>
      <c r="R150" s="16">
        <v>11.80796527862549</v>
      </c>
    </row>
    <row r="151" spans="1:18">
      <c r="A151" s="5" t="s">
        <v>1735</v>
      </c>
      <c r="B151">
        <v>1.0122071336629079</v>
      </c>
      <c r="C151">
        <v>1.0082201919837084</v>
      </c>
      <c r="D151">
        <v>0.1840791993350803</v>
      </c>
      <c r="E151">
        <v>154.09240800503389</v>
      </c>
      <c r="F151">
        <v>23.761714309094423</v>
      </c>
      <c r="G151" s="8">
        <v>329</v>
      </c>
      <c r="H151">
        <v>5.0281856143306305</v>
      </c>
      <c r="I151">
        <v>0.20498991572997374</v>
      </c>
      <c r="J151">
        <v>4.1064352484897933E-2</v>
      </c>
      <c r="K151">
        <v>948.89400757022941</v>
      </c>
      <c r="L151">
        <v>163.00346489010587</v>
      </c>
      <c r="M151" s="8">
        <v>410</v>
      </c>
      <c r="N151">
        <f t="shared" si="8"/>
        <v>-81</v>
      </c>
      <c r="O151">
        <f t="shared" si="9"/>
        <v>-794.80159956519549</v>
      </c>
      <c r="P151">
        <f t="shared" si="10"/>
        <v>-83.76084085517536</v>
      </c>
      <c r="Q151" s="16">
        <v>10.96221256256104</v>
      </c>
      <c r="R151" s="16">
        <v>6.8753337860107422</v>
      </c>
    </row>
    <row r="152" spans="1:18">
      <c r="A152" s="5" t="s">
        <v>1736</v>
      </c>
      <c r="B152">
        <v>5.7062525184157264</v>
      </c>
      <c r="C152">
        <v>0.18748190319959024</v>
      </c>
      <c r="D152">
        <v>5.4141172824104591E-2</v>
      </c>
      <c r="E152">
        <v>556.14808812174704</v>
      </c>
      <c r="F152">
        <v>253.57272060633287</v>
      </c>
      <c r="G152" s="8">
        <v>310</v>
      </c>
      <c r="H152">
        <v>5.0281856143306305</v>
      </c>
      <c r="I152">
        <v>0.20498991572997374</v>
      </c>
      <c r="J152">
        <v>4.1064352484897933E-2</v>
      </c>
      <c r="K152">
        <v>948.89400757022941</v>
      </c>
      <c r="L152">
        <v>163.00346489010587</v>
      </c>
      <c r="M152" s="8">
        <v>410</v>
      </c>
      <c r="N152">
        <f t="shared" si="8"/>
        <v>-100</v>
      </c>
      <c r="O152">
        <f t="shared" si="9"/>
        <v>-392.74591944848237</v>
      </c>
      <c r="P152">
        <f t="shared" si="10"/>
        <v>-41.389861914520999</v>
      </c>
    </row>
    <row r="153" spans="1:18">
      <c r="A153" s="5" t="s">
        <v>1737</v>
      </c>
      <c r="B153">
        <v>0.14844361254983127</v>
      </c>
      <c r="C153">
        <v>6.8980628484392552</v>
      </c>
      <c r="D153">
        <v>1.2369013016452766</v>
      </c>
      <c r="E153">
        <v>474.86480020495145</v>
      </c>
      <c r="F153">
        <v>44.466152123089394</v>
      </c>
      <c r="G153" s="8">
        <v>347</v>
      </c>
      <c r="H153">
        <v>0.12887600164119745</v>
      </c>
      <c r="I153">
        <v>8.5533926604026096</v>
      </c>
      <c r="J153">
        <v>3.3394837071006704</v>
      </c>
      <c r="K153">
        <v>468.50223747487865</v>
      </c>
      <c r="L153">
        <v>32.927149176595321</v>
      </c>
      <c r="M153" s="8">
        <v>347</v>
      </c>
      <c r="N153">
        <f t="shared" si="8"/>
        <v>0</v>
      </c>
      <c r="O153">
        <f t="shared" si="9"/>
        <v>6.3625627300727956</v>
      </c>
      <c r="P153">
        <f t="shared" si="10"/>
        <v>1.3580645344119535</v>
      </c>
      <c r="Q153" s="16">
        <v>11.63075542449951</v>
      </c>
      <c r="R153" s="16">
        <v>9.6265296936035156</v>
      </c>
    </row>
    <row r="154" spans="1:18">
      <c r="A154" s="5" t="s">
        <v>1738</v>
      </c>
      <c r="B154">
        <v>0.12026673214714879</v>
      </c>
      <c r="C154">
        <v>8.4761170065363292</v>
      </c>
      <c r="D154">
        <v>1.37172301208017</v>
      </c>
      <c r="E154">
        <v>483.09128627425531</v>
      </c>
      <c r="F154">
        <v>43.02838227973691</v>
      </c>
      <c r="G154" s="8">
        <v>347</v>
      </c>
      <c r="H154">
        <v>0.12887600164119745</v>
      </c>
      <c r="I154">
        <v>8.5533926604026096</v>
      </c>
      <c r="J154">
        <v>3.3394837071006704</v>
      </c>
      <c r="K154">
        <v>468.50223747487865</v>
      </c>
      <c r="L154">
        <v>32.927149176595321</v>
      </c>
      <c r="M154" s="8">
        <v>347</v>
      </c>
      <c r="N154">
        <f t="shared" si="8"/>
        <v>0</v>
      </c>
      <c r="O154">
        <f t="shared" si="9"/>
        <v>14.589048799376656</v>
      </c>
      <c r="P154">
        <f t="shared" si="10"/>
        <v>3.1139763340316873</v>
      </c>
      <c r="Q154" s="16">
        <v>11.426228523254389</v>
      </c>
      <c r="R154" s="16">
        <v>9.6163225173950195</v>
      </c>
    </row>
    <row r="155" spans="1:18">
      <c r="A155" s="5" t="s">
        <v>1739</v>
      </c>
      <c r="B155">
        <v>0.37138890019338722</v>
      </c>
      <c r="C155">
        <v>3.6959554070244827</v>
      </c>
      <c r="D155">
        <v>2.1059217885784558</v>
      </c>
      <c r="E155">
        <v>154.56507930404004</v>
      </c>
      <c r="F155">
        <v>40.28942472111251</v>
      </c>
      <c r="G155" s="8">
        <v>53</v>
      </c>
      <c r="H155">
        <v>4.8935518646599306E-2</v>
      </c>
      <c r="I155">
        <v>23.241830621513063</v>
      </c>
      <c r="J155">
        <v>9.9356689871394543</v>
      </c>
      <c r="K155">
        <v>5386.6018120163244</v>
      </c>
      <c r="L155">
        <v>227.43723805598887</v>
      </c>
      <c r="M155" s="8">
        <v>399</v>
      </c>
      <c r="N155">
        <f t="shared" si="8"/>
        <v>-346</v>
      </c>
      <c r="O155">
        <f t="shared" si="9"/>
        <v>-5232.036732712284</v>
      </c>
      <c r="P155">
        <f t="shared" si="10"/>
        <v>-97.130564227724435</v>
      </c>
    </row>
    <row r="156" spans="1:18">
      <c r="A156" s="5" t="s">
        <v>1740</v>
      </c>
      <c r="B156">
        <v>8.5690816733199102E-2</v>
      </c>
      <c r="C156">
        <v>12.912105559670465</v>
      </c>
      <c r="D156">
        <v>4.6316720089374517</v>
      </c>
      <c r="E156">
        <v>122.5978490011036</v>
      </c>
      <c r="F156">
        <v>16.190367336203082</v>
      </c>
      <c r="G156" s="8">
        <v>105</v>
      </c>
      <c r="H156">
        <v>0.56770305745232819</v>
      </c>
      <c r="I156">
        <v>1.8310991513579051</v>
      </c>
      <c r="J156">
        <v>0.42115311504451336</v>
      </c>
      <c r="K156">
        <v>5189.1087700419666</v>
      </c>
      <c r="L156">
        <v>71.239627242496027</v>
      </c>
      <c r="M156" s="8">
        <v>348</v>
      </c>
      <c r="N156">
        <f t="shared" si="8"/>
        <v>-243</v>
      </c>
      <c r="O156">
        <f t="shared" si="9"/>
        <v>-5066.5109210408627</v>
      </c>
      <c r="P156">
        <f t="shared" si="10"/>
        <v>-97.63740067063361</v>
      </c>
    </row>
    <row r="157" spans="1:18">
      <c r="A157" s="5" t="s">
        <v>1741</v>
      </c>
      <c r="B157">
        <v>0.59467242495295503</v>
      </c>
      <c r="C157">
        <v>2.0557342110432755</v>
      </c>
      <c r="D157">
        <v>1.1519737616892074</v>
      </c>
      <c r="E157">
        <v>2371.1094040949397</v>
      </c>
      <c r="F157">
        <v>197.96848290455856</v>
      </c>
      <c r="G157" s="8">
        <v>338</v>
      </c>
      <c r="H157">
        <v>0.38238561192248871</v>
      </c>
      <c r="I157">
        <v>2.6637826275520311</v>
      </c>
      <c r="J157">
        <v>0.43229904844675815</v>
      </c>
      <c r="K157">
        <v>2483.8420350238212</v>
      </c>
      <c r="L157">
        <v>529.28842599209668</v>
      </c>
      <c r="M157" s="8">
        <v>338</v>
      </c>
      <c r="N157">
        <f t="shared" si="8"/>
        <v>0</v>
      </c>
      <c r="O157">
        <f t="shared" si="9"/>
        <v>-112.73263092888146</v>
      </c>
      <c r="P157">
        <f t="shared" si="10"/>
        <v>-4.5386393071409756</v>
      </c>
      <c r="Q157" s="16">
        <v>9.5399303436279297</v>
      </c>
      <c r="R157" s="16">
        <v>10.73884201049805</v>
      </c>
    </row>
    <row r="158" spans="1:18">
      <c r="A158" s="5" t="s">
        <v>1742</v>
      </c>
      <c r="B158">
        <v>0.77012338917610634</v>
      </c>
      <c r="C158">
        <v>1.3997002470312216</v>
      </c>
      <c r="D158">
        <v>0.42621114339972366</v>
      </c>
      <c r="E158">
        <v>2966.863620052136</v>
      </c>
      <c r="F158">
        <v>447.00887716495595</v>
      </c>
      <c r="G158" s="8">
        <v>338</v>
      </c>
      <c r="H158">
        <v>0.38238561192248871</v>
      </c>
      <c r="I158">
        <v>2.6637826275520311</v>
      </c>
      <c r="J158">
        <v>0.43229904844675815</v>
      </c>
      <c r="K158">
        <v>2483.8420350238212</v>
      </c>
      <c r="L158">
        <v>529.28842599209668</v>
      </c>
      <c r="M158" s="8">
        <v>338</v>
      </c>
      <c r="N158">
        <f t="shared" si="8"/>
        <v>0</v>
      </c>
      <c r="O158">
        <f t="shared" si="9"/>
        <v>483.0215850283148</v>
      </c>
      <c r="P158">
        <f t="shared" si="10"/>
        <v>19.446550071115226</v>
      </c>
      <c r="Q158" s="16">
        <v>9.4494457244873047</v>
      </c>
      <c r="R158" s="16">
        <v>10.67160224914551</v>
      </c>
    </row>
    <row r="159" spans="1:18">
      <c r="A159" s="5" t="s">
        <v>1743</v>
      </c>
      <c r="B159">
        <v>5.0963229364458025E-2</v>
      </c>
      <c r="C159">
        <v>20.100418033764978</v>
      </c>
      <c r="D159">
        <v>3.6033898943723419</v>
      </c>
      <c r="E159">
        <v>127.43584009810598</v>
      </c>
      <c r="F159">
        <v>12.576410963361461</v>
      </c>
      <c r="G159" s="8">
        <v>306</v>
      </c>
      <c r="H159">
        <v>0.10235034772187379</v>
      </c>
      <c r="I159">
        <v>10.976292392678955</v>
      </c>
      <c r="J159">
        <v>4.7100974452910025</v>
      </c>
      <c r="K159">
        <v>6002.05111403708</v>
      </c>
      <c r="L159">
        <v>81.113356397473893</v>
      </c>
      <c r="M159" s="8">
        <v>369</v>
      </c>
      <c r="N159">
        <f t="shared" si="8"/>
        <v>-63</v>
      </c>
      <c r="O159">
        <f t="shared" si="9"/>
        <v>-5874.6152739389736</v>
      </c>
      <c r="P159">
        <f t="shared" si="10"/>
        <v>-97.876795154242018</v>
      </c>
      <c r="Q159" s="16">
        <v>12.071103096008301</v>
      </c>
      <c r="R159" s="16">
        <v>9.9285640716552734</v>
      </c>
    </row>
    <row r="160" spans="1:18">
      <c r="A160" s="5" t="s">
        <v>1744</v>
      </c>
      <c r="B160">
        <v>0.86593682825959262</v>
      </c>
      <c r="C160">
        <v>1.3481014417990007</v>
      </c>
      <c r="D160">
        <v>0.57199595570014994</v>
      </c>
      <c r="E160">
        <v>187.48680920342517</v>
      </c>
      <c r="F160">
        <v>50.149310344694378</v>
      </c>
      <c r="G160" s="8">
        <v>113</v>
      </c>
      <c r="H160">
        <v>0.17023294189049001</v>
      </c>
      <c r="I160">
        <v>6.5573081786598726</v>
      </c>
      <c r="J160">
        <v>2.6637213017650629</v>
      </c>
      <c r="K160">
        <v>6315.3272464778684</v>
      </c>
      <c r="L160">
        <v>36.285988824450037</v>
      </c>
      <c r="M160" s="8">
        <v>368</v>
      </c>
      <c r="N160">
        <f t="shared" si="8"/>
        <v>-255</v>
      </c>
      <c r="O160">
        <f t="shared" si="9"/>
        <v>-6127.8404372744435</v>
      </c>
      <c r="P160">
        <f t="shared" si="10"/>
        <v>-97.031241582801769</v>
      </c>
    </row>
    <row r="161" spans="1:18">
      <c r="A161" s="5" t="s">
        <v>1745</v>
      </c>
      <c r="B161">
        <v>5.3006837604302477E-2</v>
      </c>
      <c r="C161">
        <v>20.210117496702605</v>
      </c>
      <c r="D161">
        <v>5.8312725967003178</v>
      </c>
      <c r="E161">
        <v>1442.0232398026019</v>
      </c>
      <c r="F161">
        <v>413.38588795128453</v>
      </c>
      <c r="G161" s="8">
        <v>398</v>
      </c>
      <c r="H161">
        <v>4.641982522484378E-2</v>
      </c>
      <c r="I161">
        <v>22.434293742798076</v>
      </c>
      <c r="J161">
        <v>5.7171602304820768</v>
      </c>
      <c r="K161">
        <v>684.25237747475819</v>
      </c>
      <c r="L161">
        <v>111.18943609199208</v>
      </c>
      <c r="M161" s="8">
        <v>400</v>
      </c>
      <c r="N161">
        <f t="shared" si="8"/>
        <v>-2</v>
      </c>
      <c r="O161">
        <f t="shared" si="9"/>
        <v>757.7708623278437</v>
      </c>
      <c r="P161">
        <f t="shared" si="10"/>
        <v>110.744352124052</v>
      </c>
      <c r="Q161" s="16">
        <v>11.25538349151611</v>
      </c>
      <c r="R161" s="16">
        <v>7.2467970848083496</v>
      </c>
    </row>
    <row r="162" spans="1:18">
      <c r="A162" s="5" t="s">
        <v>1746</v>
      </c>
      <c r="B162">
        <v>6.448993746820629E-2</v>
      </c>
      <c r="C162">
        <v>19.346457169919237</v>
      </c>
      <c r="D162">
        <v>11.321565125384911</v>
      </c>
      <c r="E162">
        <v>1085.9888953960515</v>
      </c>
      <c r="F162">
        <v>314.52885351372686</v>
      </c>
      <c r="G162" s="8">
        <v>384</v>
      </c>
      <c r="H162">
        <v>4.641982522484378E-2</v>
      </c>
      <c r="I162">
        <v>22.434293742798076</v>
      </c>
      <c r="J162">
        <v>5.7171602304820768</v>
      </c>
      <c r="K162">
        <v>684.25237747475819</v>
      </c>
      <c r="L162">
        <v>111.18943609199208</v>
      </c>
      <c r="M162" s="8">
        <v>400</v>
      </c>
      <c r="N162">
        <f t="shared" ref="N162:N175" si="11">G162-M162</f>
        <v>-16</v>
      </c>
      <c r="O162">
        <f t="shared" si="9"/>
        <v>401.73651792129328</v>
      </c>
      <c r="P162">
        <f t="shared" si="10"/>
        <v>58.711746008674005</v>
      </c>
      <c r="Q162" s="16">
        <v>11.36005783081055</v>
      </c>
      <c r="R162" s="16">
        <v>7.2170257568359384</v>
      </c>
    </row>
    <row r="163" spans="1:18">
      <c r="A163" s="5" t="s">
        <v>1747</v>
      </c>
      <c r="B163">
        <v>0.12281948377998426</v>
      </c>
      <c r="C163">
        <v>8.3187727377270999</v>
      </c>
      <c r="D163">
        <v>1.4146887392232319</v>
      </c>
      <c r="E163">
        <v>127.61974642398737</v>
      </c>
      <c r="F163">
        <v>31.821779750882481</v>
      </c>
      <c r="G163" s="8">
        <v>307</v>
      </c>
      <c r="H163">
        <v>0.11502067531821535</v>
      </c>
      <c r="I163">
        <v>8.8714062077635845</v>
      </c>
      <c r="J163">
        <v>1.6028938066794709</v>
      </c>
      <c r="K163">
        <v>942.04103363848765</v>
      </c>
      <c r="L163">
        <v>145.5347766365752</v>
      </c>
      <c r="M163" s="8">
        <v>369</v>
      </c>
      <c r="N163">
        <f t="shared" si="11"/>
        <v>-62</v>
      </c>
      <c r="O163">
        <f t="shared" si="9"/>
        <v>-814.42128721450024</v>
      </c>
      <c r="P163">
        <f t="shared" si="10"/>
        <v>-86.452846333978044</v>
      </c>
      <c r="Q163" s="16">
        <v>13.427525520324711</v>
      </c>
      <c r="R163" s="16">
        <v>10.346537590026861</v>
      </c>
    </row>
    <row r="164" spans="1:18">
      <c r="A164" s="5" t="s">
        <v>1748</v>
      </c>
      <c r="B164">
        <v>0.10775660776966033</v>
      </c>
      <c r="C164">
        <v>10.448827772095083</v>
      </c>
      <c r="D164">
        <v>4.7910977583691867</v>
      </c>
      <c r="E164">
        <v>428.49757149048645</v>
      </c>
      <c r="F164">
        <v>42.819269642643022</v>
      </c>
      <c r="G164" s="8">
        <v>537</v>
      </c>
      <c r="H164">
        <v>9.5415784904485781E-2</v>
      </c>
      <c r="I164">
        <v>10.638813078314035</v>
      </c>
      <c r="J164">
        <v>1.5675648132667788</v>
      </c>
      <c r="K164">
        <v>769.96727131392811</v>
      </c>
      <c r="L164">
        <v>69.283446004301638</v>
      </c>
      <c r="M164" s="8">
        <v>603</v>
      </c>
      <c r="N164">
        <f t="shared" si="11"/>
        <v>-66</v>
      </c>
      <c r="O164">
        <f t="shared" si="9"/>
        <v>-341.46969982344166</v>
      </c>
      <c r="P164">
        <f t="shared" si="10"/>
        <v>-44.348599290555939</v>
      </c>
      <c r="Q164" s="16">
        <v>8.8162803649902344</v>
      </c>
      <c r="R164" s="16">
        <v>9.6775407791137695</v>
      </c>
    </row>
    <row r="165" spans="1:18">
      <c r="A165" s="5" t="s">
        <v>1749</v>
      </c>
      <c r="B165">
        <v>1.2052385004416115</v>
      </c>
      <c r="C165">
        <v>1.2295057537313359</v>
      </c>
      <c r="D165">
        <v>0.71365719982557874</v>
      </c>
      <c r="E165">
        <v>212.96649106985112</v>
      </c>
      <c r="F165">
        <v>82.561248928877561</v>
      </c>
      <c r="G165" s="8">
        <v>740</v>
      </c>
      <c r="H165">
        <v>1.0640070441338743</v>
      </c>
      <c r="I165">
        <v>1.0792352303954607</v>
      </c>
      <c r="J165">
        <v>0.43329397229273481</v>
      </c>
      <c r="K165">
        <v>212.06856332827127</v>
      </c>
      <c r="L165">
        <v>51.735108399455967</v>
      </c>
      <c r="M165" s="8">
        <v>764</v>
      </c>
      <c r="N165">
        <f t="shared" si="11"/>
        <v>-24</v>
      </c>
      <c r="O165">
        <f t="shared" si="9"/>
        <v>0.89792774157984923</v>
      </c>
      <c r="P165">
        <f t="shared" si="10"/>
        <v>0.42341388440016126</v>
      </c>
      <c r="Q165" s="16">
        <v>5.758969783782959</v>
      </c>
      <c r="R165" s="16">
        <v>7.9951009750366211</v>
      </c>
    </row>
    <row r="166" spans="1:18">
      <c r="A166" s="5" t="s">
        <v>1750</v>
      </c>
      <c r="B166">
        <v>0.33398731366094125</v>
      </c>
      <c r="C166">
        <v>3.8922683764974035</v>
      </c>
      <c r="D166">
        <v>2.0832735212804772</v>
      </c>
      <c r="E166">
        <v>194.56434509262303</v>
      </c>
      <c r="F166">
        <v>34.761660308034202</v>
      </c>
      <c r="G166" s="8">
        <v>740</v>
      </c>
      <c r="H166">
        <v>0.34268235769325789</v>
      </c>
      <c r="I166">
        <v>3.3540750837848861</v>
      </c>
      <c r="J166">
        <v>1.3598743179295807</v>
      </c>
      <c r="K166">
        <v>194.02816225614001</v>
      </c>
      <c r="L166">
        <v>8.5250450070160984</v>
      </c>
      <c r="M166" s="8">
        <v>764</v>
      </c>
      <c r="N166">
        <f t="shared" si="11"/>
        <v>-24</v>
      </c>
      <c r="O166">
        <f t="shared" si="9"/>
        <v>0.53618283648302167</v>
      </c>
      <c r="P166">
        <f t="shared" si="10"/>
        <v>0.27634278975193161</v>
      </c>
    </row>
    <row r="167" spans="1:18">
      <c r="A167" s="5" t="s">
        <v>1751</v>
      </c>
      <c r="B167">
        <v>0.16505642152975467</v>
      </c>
      <c r="C167">
        <v>6.1312773816225379</v>
      </c>
      <c r="D167">
        <v>0.79641325172325483</v>
      </c>
      <c r="E167">
        <v>363.21659830691397</v>
      </c>
      <c r="F167">
        <v>44.520248332738916</v>
      </c>
      <c r="G167" s="8">
        <v>321</v>
      </c>
      <c r="H167">
        <v>0.19404579561145785</v>
      </c>
      <c r="I167">
        <v>5.2968881536074406</v>
      </c>
      <c r="J167">
        <v>1.0911902186971718</v>
      </c>
      <c r="K167">
        <v>6282.5972577567891</v>
      </c>
      <c r="L167">
        <v>105.9756778734819</v>
      </c>
      <c r="M167" s="8">
        <v>417</v>
      </c>
      <c r="N167">
        <f t="shared" si="11"/>
        <v>-96</v>
      </c>
      <c r="O167">
        <f t="shared" si="9"/>
        <v>-5919.3806594498747</v>
      </c>
      <c r="P167">
        <f t="shared" si="10"/>
        <v>-94.218687217957992</v>
      </c>
      <c r="Q167" s="16">
        <v>11.02101898193359</v>
      </c>
      <c r="R167" s="16">
        <v>8.131251335144043</v>
      </c>
    </row>
    <row r="168" spans="1:18">
      <c r="A168" s="5" t="s">
        <v>1752</v>
      </c>
      <c r="B168">
        <v>5.8374353232166894E-2</v>
      </c>
      <c r="C168">
        <v>17.490358478142198</v>
      </c>
      <c r="D168">
        <v>3.037047293138019</v>
      </c>
      <c r="E168">
        <v>105.74346003567312</v>
      </c>
      <c r="F168">
        <v>16.812715594075243</v>
      </c>
      <c r="G168" s="8">
        <v>196</v>
      </c>
      <c r="H168">
        <v>4.9621956724879838E-2</v>
      </c>
      <c r="I168">
        <v>22.019518194342023</v>
      </c>
      <c r="J168">
        <v>7.9113635664286921</v>
      </c>
      <c r="K168">
        <v>474.15433133741362</v>
      </c>
      <c r="L168">
        <v>40.728963096296809</v>
      </c>
      <c r="M168" s="8">
        <v>408</v>
      </c>
      <c r="N168">
        <f t="shared" si="11"/>
        <v>-212</v>
      </c>
      <c r="O168">
        <f t="shared" si="9"/>
        <v>-368.41087130174049</v>
      </c>
      <c r="P168">
        <f t="shared" si="10"/>
        <v>-77.698514376656632</v>
      </c>
    </row>
    <row r="169" spans="1:18">
      <c r="A169" s="5" t="s">
        <v>1753</v>
      </c>
      <c r="B169">
        <v>0.25728837469471172</v>
      </c>
      <c r="C169">
        <v>5.7947822577169781</v>
      </c>
      <c r="D169">
        <v>3.3345099330885906</v>
      </c>
      <c r="E169">
        <v>136.5517462361594</v>
      </c>
      <c r="F169">
        <v>17.013903318666191</v>
      </c>
      <c r="G169" s="8">
        <v>597</v>
      </c>
      <c r="H169">
        <v>7.4420851852544254E-2</v>
      </c>
      <c r="I169">
        <v>24.035133592870171</v>
      </c>
      <c r="J169">
        <v>21.769672205945529</v>
      </c>
      <c r="K169">
        <v>124.17529325027594</v>
      </c>
      <c r="L169">
        <v>5.4782097823408096</v>
      </c>
      <c r="M169" s="8">
        <v>851</v>
      </c>
      <c r="N169">
        <f t="shared" si="11"/>
        <v>-254</v>
      </c>
      <c r="O169">
        <f t="shared" si="9"/>
        <v>12.376452985883461</v>
      </c>
      <c r="P169">
        <f t="shared" si="10"/>
        <v>9.9669206827952941</v>
      </c>
      <c r="Q169" s="16">
        <v>5.6612358093261719</v>
      </c>
      <c r="R169" s="16">
        <v>8.4474067687988281</v>
      </c>
    </row>
    <row r="170" spans="1:18">
      <c r="A170" s="5" t="s">
        <v>1754</v>
      </c>
      <c r="B170">
        <v>9.0176136473366753E-2</v>
      </c>
      <c r="C170">
        <v>12.399659380166469</v>
      </c>
      <c r="D170">
        <v>4.4053152547952212</v>
      </c>
      <c r="E170">
        <v>127.77067722427681</v>
      </c>
      <c r="F170">
        <v>13.557575821821651</v>
      </c>
      <c r="G170" s="8">
        <v>71</v>
      </c>
      <c r="H170">
        <v>1.1030612246648672</v>
      </c>
      <c r="I170">
        <v>1.4385425681812489</v>
      </c>
      <c r="J170">
        <v>0.87108740571791143</v>
      </c>
      <c r="K170">
        <v>212.39584278604198</v>
      </c>
      <c r="L170">
        <v>84.749988042918119</v>
      </c>
      <c r="M170" s="8">
        <v>309</v>
      </c>
      <c r="N170">
        <f t="shared" si="11"/>
        <v>-238</v>
      </c>
      <c r="O170">
        <f t="shared" si="9"/>
        <v>-84.625165561765172</v>
      </c>
      <c r="P170">
        <f t="shared" si="10"/>
        <v>-39.843136500092783</v>
      </c>
    </row>
    <row r="171" spans="1:18">
      <c r="A171" s="5" t="s">
        <v>1755</v>
      </c>
      <c r="B171">
        <v>7.785782354376504E-2</v>
      </c>
      <c r="C171">
        <v>14.544120247047028</v>
      </c>
      <c r="D171">
        <v>5.9786161455400819</v>
      </c>
      <c r="E171">
        <v>127.04069852204377</v>
      </c>
      <c r="F171">
        <v>23.749441310486564</v>
      </c>
      <c r="G171" s="8">
        <v>165</v>
      </c>
      <c r="H171">
        <v>1.1030612246648672</v>
      </c>
      <c r="I171">
        <v>1.4385425681812489</v>
      </c>
      <c r="J171">
        <v>0.87108740571791143</v>
      </c>
      <c r="K171">
        <v>212.39584278604198</v>
      </c>
      <c r="L171">
        <v>84.749988042918119</v>
      </c>
      <c r="M171" s="8">
        <v>309</v>
      </c>
      <c r="N171">
        <f t="shared" si="11"/>
        <v>-144</v>
      </c>
      <c r="O171">
        <f t="shared" si="9"/>
        <v>-85.355144263998213</v>
      </c>
      <c r="P171">
        <f t="shared" si="10"/>
        <v>-40.186824348526038</v>
      </c>
    </row>
    <row r="172" spans="1:18">
      <c r="A172" s="5" t="s">
        <v>1756</v>
      </c>
      <c r="B172">
        <v>4.3766515211827527E-2</v>
      </c>
      <c r="C172">
        <v>28.339081276818494</v>
      </c>
      <c r="D172">
        <v>15.24118796025069</v>
      </c>
      <c r="E172">
        <v>5973.184367015303</v>
      </c>
      <c r="F172">
        <v>116.16472940255282</v>
      </c>
      <c r="G172" s="8">
        <v>417</v>
      </c>
      <c r="H172">
        <v>6.4971716994887518E-2</v>
      </c>
      <c r="I172">
        <v>17.950519556226169</v>
      </c>
      <c r="J172">
        <v>9.1247289537746106</v>
      </c>
      <c r="K172">
        <v>6468.7327088180691</v>
      </c>
      <c r="L172">
        <v>47.866046565722478</v>
      </c>
      <c r="M172" s="8">
        <v>353</v>
      </c>
      <c r="N172">
        <f t="shared" si="11"/>
        <v>64</v>
      </c>
      <c r="O172">
        <f t="shared" si="9"/>
        <v>-495.54834180276612</v>
      </c>
      <c r="P172">
        <f t="shared" si="10"/>
        <v>-7.6606711717620177</v>
      </c>
      <c r="Q172" s="16">
        <v>11.198203086853029</v>
      </c>
      <c r="R172" s="16">
        <v>7.484931468963623</v>
      </c>
    </row>
    <row r="173" spans="1:18">
      <c r="A173" s="5" t="s">
        <v>1757</v>
      </c>
      <c r="B173">
        <v>5.9059368122937439E-2</v>
      </c>
      <c r="C173">
        <v>19.105818335559572</v>
      </c>
      <c r="D173">
        <v>7.8945190073639466</v>
      </c>
      <c r="E173">
        <v>194.3090620146186</v>
      </c>
      <c r="F173">
        <v>17.224978120692274</v>
      </c>
      <c r="G173" s="8">
        <v>268</v>
      </c>
      <c r="H173">
        <v>6.4971716994887518E-2</v>
      </c>
      <c r="I173">
        <v>17.950519556226169</v>
      </c>
      <c r="J173">
        <v>9.1247289537746106</v>
      </c>
      <c r="K173">
        <v>6468.7327088180691</v>
      </c>
      <c r="L173">
        <v>47.866046565722478</v>
      </c>
      <c r="M173" s="8">
        <v>353</v>
      </c>
      <c r="N173">
        <f t="shared" si="11"/>
        <v>-85</v>
      </c>
      <c r="O173">
        <f t="shared" si="9"/>
        <v>-6274.4236468034505</v>
      </c>
      <c r="P173">
        <f t="shared" si="10"/>
        <v>-96.996180383991756</v>
      </c>
    </row>
    <row r="174" spans="1:18">
      <c r="A174" s="5" t="s">
        <v>1758</v>
      </c>
      <c r="B174">
        <v>0.12266299422341774</v>
      </c>
      <c r="C174">
        <v>9.0353602367250438</v>
      </c>
      <c r="D174">
        <v>3.7194897735732186</v>
      </c>
      <c r="E174">
        <v>136.44570567874547</v>
      </c>
      <c r="F174">
        <v>60.043349469440905</v>
      </c>
      <c r="G174" s="8">
        <v>228</v>
      </c>
      <c r="H174">
        <v>5.836763719432924E-2</v>
      </c>
      <c r="I174">
        <v>19.520090276592398</v>
      </c>
      <c r="J174">
        <v>8.7791691421000255</v>
      </c>
      <c r="K174">
        <v>5732.9228761783779</v>
      </c>
      <c r="L174">
        <v>200.47899894225921</v>
      </c>
      <c r="M174" s="8">
        <v>467</v>
      </c>
      <c r="N174">
        <f t="shared" si="11"/>
        <v>-239</v>
      </c>
      <c r="O174">
        <f t="shared" si="9"/>
        <v>-5596.4771704996328</v>
      </c>
      <c r="P174">
        <f t="shared" si="10"/>
        <v>-97.619962650366205</v>
      </c>
    </row>
    <row r="175" spans="1:18">
      <c r="A175" s="5" t="s">
        <v>1759</v>
      </c>
      <c r="B175">
        <v>5.3770619211871519E-2</v>
      </c>
      <c r="C175">
        <v>20.79221760597289</v>
      </c>
      <c r="D175">
        <v>7.5348004466765639</v>
      </c>
      <c r="E175">
        <v>128.65247863031257</v>
      </c>
      <c r="F175">
        <v>13.327037340588124</v>
      </c>
      <c r="G175" s="8">
        <v>589</v>
      </c>
      <c r="H175">
        <v>4.6423687962995154E-2</v>
      </c>
      <c r="I175">
        <v>24.083313989979597</v>
      </c>
      <c r="J175">
        <v>10.739266442468571</v>
      </c>
      <c r="K175">
        <v>6474.0700732246796</v>
      </c>
      <c r="L175">
        <v>73.805556625480889</v>
      </c>
      <c r="M175" s="8">
        <v>448</v>
      </c>
      <c r="N175">
        <f t="shared" si="11"/>
        <v>141</v>
      </c>
      <c r="O175">
        <f t="shared" si="9"/>
        <v>-6345.4175945943671</v>
      </c>
      <c r="P175">
        <f t="shared" si="10"/>
        <v>-98.012803735900377</v>
      </c>
      <c r="Q175" s="16">
        <v>8.7167606353759766</v>
      </c>
      <c r="R175" s="16">
        <v>9.4892253875732422</v>
      </c>
    </row>
  </sheetData>
  <conditionalFormatting sqref="B176:B1048576 B1">
    <cfRule type="colorScale" priority="523">
      <colorScale>
        <cfvo type="min"/>
        <cfvo type="percentile" val="50"/>
        <cfvo type="max"/>
        <color rgb="FF00B050"/>
        <color theme="0"/>
        <color rgb="FFFF0000"/>
      </colorScale>
    </cfRule>
    <cfRule type="colorScale" priority="524">
      <colorScale>
        <cfvo type="min"/>
        <cfvo type="max"/>
        <color rgb="FF63BE7B"/>
        <color rgb="FFFCFCFF"/>
      </colorScale>
    </cfRule>
    <cfRule type="colorScale" priority="5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1">
    <cfRule type="colorScale" priority="4">
      <colorScale>
        <cfvo type="min"/>
        <cfvo type="percentile" val="50"/>
        <cfvo type="max"/>
        <color rgb="FF00B050"/>
        <color theme="0"/>
        <color rgb="FFFF0000"/>
      </colorScale>
    </cfRule>
    <cfRule type="colorScale" priority="5">
      <colorScale>
        <cfvo type="min"/>
        <cfvo type="max"/>
        <color rgb="FF63BE7B"/>
        <color rgb="FFFCFCFF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76:D1048576 C1:D1">
    <cfRule type="colorScale" priority="1">
      <colorScale>
        <cfvo type="min"/>
        <cfvo type="percentile" val="50"/>
        <cfvo type="max"/>
        <color rgb="FF00B050"/>
        <color theme="0"/>
        <color rgb="FFFF0000"/>
      </colorScale>
    </cfRule>
    <cfRule type="colorScale" priority="2">
      <colorScale>
        <cfvo type="min"/>
        <cfvo type="max"/>
        <color rgb="FF63BE7B"/>
        <color rgb="FFFCFCFF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Lee Tedman</dc:creator>
  <cp:keywords/>
  <dc:description/>
  <cp:lastModifiedBy>Charles Paul Kuntz</cp:lastModifiedBy>
  <cp:revision/>
  <dcterms:created xsi:type="dcterms:W3CDTF">2025-06-10T16:58:48Z</dcterms:created>
  <dcterms:modified xsi:type="dcterms:W3CDTF">2026-04-10T15:56:39Z</dcterms:modified>
  <cp:category/>
  <cp:contentStatus/>
</cp:coreProperties>
</file>